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filterPrivacy="1" defaultThemeVersion="124226"/>
  <xr:revisionPtr revIDLastSave="3" documentId="11_F93126E7A94405F71BE1FB401C4ACA62BEB1ECBF" xr6:coauthVersionLast="47" xr6:coauthVersionMax="47" xr10:uidLastSave="{98DB8EDE-99F5-1346-A1B6-9168B974FAA0}"/>
  <bookViews>
    <workbookView xWindow="0" yWindow="0" windowWidth="35840" windowHeight="22400" tabRatio="43" xr2:uid="{00000000-000D-0000-FFFF-FFFF00000000}"/>
  </bookViews>
  <sheets>
    <sheet name="TC-C.B-Fuse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3" l="1"/>
  <c r="J17" i="3" s="1"/>
  <c r="I12" i="3"/>
  <c r="J12" i="3" s="1"/>
  <c r="I13" i="3"/>
  <c r="J13" i="3" s="1"/>
  <c r="O13" i="3"/>
  <c r="O12" i="3"/>
  <c r="AE52" i="2" l="1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Q52" i="2" l="1"/>
  <c r="AR52" i="2"/>
  <c r="AQ50" i="2"/>
  <c r="AR50" i="2"/>
  <c r="AQ48" i="2"/>
  <c r="AR48" i="2"/>
  <c r="AQ46" i="2"/>
  <c r="AR46" i="2"/>
  <c r="AQ44" i="2"/>
  <c r="AR44" i="2"/>
  <c r="AQ42" i="2"/>
  <c r="AR42" i="2"/>
  <c r="AQ40" i="2"/>
  <c r="AR40" i="2"/>
  <c r="AQ38" i="2"/>
  <c r="AR38" i="2"/>
  <c r="AQ36" i="2"/>
  <c r="AR36" i="2"/>
  <c r="AQ34" i="2"/>
  <c r="AR34" i="2"/>
  <c r="AQ53" i="2"/>
  <c r="AR53" i="2"/>
  <c r="AQ51" i="2"/>
  <c r="AR51" i="2"/>
  <c r="AQ49" i="2"/>
  <c r="AR49" i="2"/>
  <c r="AQ47" i="2"/>
  <c r="AR47" i="2"/>
  <c r="AQ45" i="2"/>
  <c r="AR45" i="2"/>
  <c r="AQ43" i="2"/>
  <c r="AR43" i="2"/>
  <c r="AQ41" i="2"/>
  <c r="AR41" i="2"/>
  <c r="AQ39" i="2"/>
  <c r="AR39" i="2"/>
  <c r="AQ37" i="2"/>
  <c r="AR37" i="2"/>
  <c r="AQ35" i="2"/>
  <c r="AR35" i="2"/>
  <c r="AQ33" i="2"/>
  <c r="AR33" i="2"/>
  <c r="AQ54" i="2"/>
  <c r="AR54" i="2"/>
  <c r="AM7" i="2"/>
  <c r="AN7" i="2" s="1"/>
  <c r="AM8" i="2"/>
  <c r="AN8" i="2" s="1"/>
  <c r="AM9" i="2"/>
  <c r="AN9" i="2" s="1"/>
  <c r="AM10" i="2"/>
  <c r="AN10" i="2" s="1"/>
  <c r="AM11" i="2"/>
  <c r="AN11" i="2" s="1"/>
  <c r="AM12" i="2"/>
  <c r="AN12" i="2" s="1"/>
  <c r="AM13" i="2"/>
  <c r="AN13" i="2" s="1"/>
  <c r="AM14" i="2"/>
  <c r="AN14" i="2" s="1"/>
  <c r="AM15" i="2"/>
  <c r="AN15" i="2" s="1"/>
  <c r="AM16" i="2"/>
  <c r="AN16" i="2" s="1"/>
  <c r="AM17" i="2"/>
  <c r="AN17" i="2" s="1"/>
  <c r="AM18" i="2"/>
  <c r="AN18" i="2" s="1"/>
  <c r="AM19" i="2"/>
  <c r="AN19" i="2" s="1"/>
  <c r="AM20" i="2"/>
  <c r="AN20" i="2" s="1"/>
  <c r="AM21" i="2"/>
  <c r="AN21" i="2" s="1"/>
  <c r="AM22" i="2"/>
  <c r="AN22" i="2" s="1"/>
  <c r="AM23" i="2"/>
  <c r="AN23" i="2" s="1"/>
  <c r="AM24" i="2"/>
  <c r="AN24" i="2" s="1"/>
  <c r="AM25" i="2"/>
  <c r="AN25" i="2" s="1"/>
  <c r="AM26" i="2"/>
  <c r="AN26" i="2" s="1"/>
  <c r="AM27" i="2"/>
  <c r="AN27" i="2" s="1"/>
  <c r="AM28" i="2"/>
  <c r="AN28" i="2" s="1"/>
  <c r="AM29" i="2"/>
  <c r="AN29" i="2" s="1"/>
  <c r="AM30" i="2"/>
  <c r="AN30" i="2" s="1"/>
  <c r="AM31" i="2"/>
  <c r="AN31" i="2" s="1"/>
  <c r="AM32" i="2"/>
  <c r="AN32" i="2" s="1"/>
  <c r="AM33" i="2"/>
  <c r="AN33" i="2" s="1"/>
  <c r="AM34" i="2"/>
  <c r="AN34" i="2" s="1"/>
  <c r="AM35" i="2"/>
  <c r="AN35" i="2" s="1"/>
  <c r="AM36" i="2"/>
  <c r="AN36" i="2" s="1"/>
  <c r="AM37" i="2"/>
  <c r="AN37" i="2" s="1"/>
  <c r="AM38" i="2"/>
  <c r="AN38" i="2" s="1"/>
  <c r="AM39" i="2"/>
  <c r="AN39" i="2" s="1"/>
  <c r="AM40" i="2"/>
  <c r="AN40" i="2" s="1"/>
  <c r="AM41" i="2"/>
  <c r="AN41" i="2" s="1"/>
  <c r="AM42" i="2"/>
  <c r="AN42" i="2" s="1"/>
  <c r="AM43" i="2"/>
  <c r="AN43" i="2" s="1"/>
  <c r="AM44" i="2"/>
  <c r="AN44" i="2" s="1"/>
  <c r="AM45" i="2"/>
  <c r="AN45" i="2" s="1"/>
  <c r="AM46" i="2"/>
  <c r="AN46" i="2" s="1"/>
  <c r="AM47" i="2"/>
  <c r="AN47" i="2" s="1"/>
  <c r="AM48" i="2"/>
  <c r="AN48" i="2" s="1"/>
  <c r="AM49" i="2"/>
  <c r="AN49" i="2" s="1"/>
  <c r="AM50" i="2"/>
  <c r="AN50" i="2" s="1"/>
  <c r="AM51" i="2"/>
  <c r="AN51" i="2" s="1"/>
  <c r="AM52" i="2"/>
  <c r="AN52" i="2" s="1"/>
  <c r="AM53" i="2"/>
  <c r="AN53" i="2" s="1"/>
  <c r="AM54" i="2"/>
  <c r="AN54" i="2" s="1"/>
  <c r="AM55" i="2"/>
  <c r="AN55" i="2" s="1"/>
  <c r="AM56" i="2"/>
  <c r="AN56" i="2" s="1"/>
  <c r="AM57" i="2"/>
  <c r="AN57" i="2" s="1"/>
  <c r="AM58" i="2"/>
  <c r="AN58" i="2" s="1"/>
  <c r="AM59" i="2"/>
  <c r="AN59" i="2" s="1"/>
  <c r="AM60" i="2"/>
  <c r="AN60" i="2" s="1"/>
  <c r="AM6" i="2"/>
  <c r="AN6" i="2" s="1"/>
  <c r="AK40" i="2"/>
  <c r="AL40" i="2" s="1"/>
  <c r="AK41" i="2"/>
  <c r="AL41" i="2" s="1"/>
  <c r="AK42" i="2"/>
  <c r="AL42" i="2" s="1"/>
  <c r="AK43" i="2"/>
  <c r="AL43" i="2" s="1"/>
  <c r="AK44" i="2"/>
  <c r="AL44" i="2" s="1"/>
  <c r="AK45" i="2"/>
  <c r="AL45" i="2" s="1"/>
  <c r="AK46" i="2"/>
  <c r="AL46" i="2" s="1"/>
  <c r="AK47" i="2"/>
  <c r="AK48" i="2"/>
  <c r="AL47" i="2" s="1"/>
  <c r="AK49" i="2"/>
  <c r="AK50" i="2"/>
  <c r="AK51" i="2"/>
  <c r="AK52" i="2"/>
  <c r="AK53" i="2"/>
  <c r="AK54" i="2"/>
  <c r="AK55" i="2"/>
  <c r="AK56" i="2"/>
  <c r="AK57" i="2"/>
  <c r="AK58" i="2"/>
  <c r="AK59" i="2"/>
  <c r="AK60" i="2"/>
  <c r="AL60" i="2" s="1"/>
  <c r="AK7" i="2"/>
  <c r="AK8" i="2"/>
  <c r="AK9" i="2"/>
  <c r="AK10" i="2"/>
  <c r="AK11" i="2"/>
  <c r="AK12" i="2"/>
  <c r="AK13" i="2"/>
  <c r="AK14" i="2"/>
  <c r="AK15" i="2"/>
  <c r="AK16" i="2"/>
  <c r="AK17" i="2"/>
  <c r="AK18" i="2"/>
  <c r="AL18" i="2" s="1"/>
  <c r="AK19" i="2"/>
  <c r="AK20" i="2"/>
  <c r="AK21" i="2"/>
  <c r="AL20" i="2" s="1"/>
  <c r="AK22" i="2"/>
  <c r="AK23" i="2"/>
  <c r="AL22" i="2" s="1"/>
  <c r="AK24" i="2"/>
  <c r="AL24" i="2" s="1"/>
  <c r="AK25" i="2"/>
  <c r="AK26" i="2"/>
  <c r="AK27" i="2"/>
  <c r="AK28" i="2"/>
  <c r="AL27" i="2" s="1"/>
  <c r="AK29" i="2"/>
  <c r="AK30" i="2"/>
  <c r="AL29" i="2" s="1"/>
  <c r="AK31" i="2"/>
  <c r="AK32" i="2"/>
  <c r="AL31" i="2" s="1"/>
  <c r="AK33" i="2"/>
  <c r="AK34" i="2"/>
  <c r="AK35" i="2"/>
  <c r="AK36" i="2"/>
  <c r="AL35" i="2" s="1"/>
  <c r="AK37" i="2"/>
  <c r="AK38" i="2"/>
  <c r="AK39" i="2"/>
  <c r="AK6" i="2"/>
  <c r="AL6" i="2" s="1"/>
  <c r="AL48" i="2"/>
  <c r="AL49" i="2"/>
  <c r="AL50" i="2"/>
  <c r="AL51" i="2"/>
  <c r="AL52" i="2"/>
  <c r="AL53" i="2"/>
  <c r="AL54" i="2"/>
  <c r="AL55" i="2"/>
  <c r="AL56" i="2"/>
  <c r="AL57" i="2"/>
  <c r="AL58" i="2"/>
  <c r="AL59" i="2"/>
  <c r="AL39" i="2"/>
  <c r="AL8" i="2"/>
  <c r="AL10" i="2"/>
  <c r="AL12" i="2"/>
  <c r="AL14" i="2"/>
  <c r="AL16" i="2"/>
  <c r="AL32" i="2"/>
  <c r="AL34" i="2"/>
  <c r="AL36" i="2"/>
  <c r="AL7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6" i="2"/>
  <c r="AL26" i="2" l="1"/>
  <c r="AL33" i="2"/>
  <c r="AL30" i="2"/>
  <c r="AL38" i="2"/>
  <c r="AL28" i="2"/>
  <c r="AQ6" i="2"/>
  <c r="AR6" i="2"/>
  <c r="AQ29" i="2"/>
  <c r="AR29" i="2"/>
  <c r="AQ25" i="2"/>
  <c r="AR25" i="2"/>
  <c r="AQ21" i="2"/>
  <c r="AR21" i="2"/>
  <c r="AQ17" i="2"/>
  <c r="AR17" i="2"/>
  <c r="AQ13" i="2"/>
  <c r="AR13" i="2"/>
  <c r="AQ11" i="2"/>
  <c r="AR11" i="2"/>
  <c r="AQ9" i="2"/>
  <c r="AR9" i="2"/>
  <c r="AQ7" i="2"/>
  <c r="AR7" i="2"/>
  <c r="AL25" i="2"/>
  <c r="AL23" i="2"/>
  <c r="AL21" i="2"/>
  <c r="AL19" i="2"/>
  <c r="AL17" i="2"/>
  <c r="AL15" i="2"/>
  <c r="AL13" i="2"/>
  <c r="AL11" i="2"/>
  <c r="AL9" i="2"/>
  <c r="AQ31" i="2"/>
  <c r="AR31" i="2"/>
  <c r="AQ27" i="2"/>
  <c r="AR27" i="2"/>
  <c r="AQ23" i="2"/>
  <c r="AR23" i="2"/>
  <c r="AQ19" i="2"/>
  <c r="AR19" i="2"/>
  <c r="AQ15" i="2"/>
  <c r="AR15" i="2"/>
  <c r="AQ32" i="2"/>
  <c r="AR32" i="2"/>
  <c r="AQ28" i="2"/>
  <c r="AR28" i="2"/>
  <c r="AQ26" i="2"/>
  <c r="AR26" i="2"/>
  <c r="AQ24" i="2"/>
  <c r="AR24" i="2"/>
  <c r="AQ22" i="2"/>
  <c r="AR22" i="2"/>
  <c r="AQ20" i="2"/>
  <c r="AR20" i="2"/>
  <c r="AQ18" i="2"/>
  <c r="AR18" i="2"/>
  <c r="AQ16" i="2"/>
  <c r="AR16" i="2"/>
  <c r="AQ14" i="2"/>
  <c r="AR14" i="2"/>
  <c r="AQ12" i="2"/>
  <c r="AR12" i="2"/>
  <c r="AQ10" i="2"/>
  <c r="AR10" i="2"/>
  <c r="AQ8" i="2"/>
  <c r="AR8" i="2"/>
  <c r="AR30" i="2"/>
  <c r="AQ30" i="2"/>
  <c r="AL37" i="2"/>
  <c r="I14" i="3"/>
  <c r="J14" i="3" s="1"/>
  <c r="I15" i="3"/>
  <c r="J15" i="3" s="1"/>
  <c r="I16" i="3"/>
  <c r="J16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AO7" i="3"/>
  <c r="AZ5" i="2" s="1"/>
  <c r="M15" i="3"/>
  <c r="M30" i="3" l="1"/>
  <c r="M31" i="3"/>
  <c r="M29" i="3"/>
  <c r="M28" i="3"/>
  <c r="I9" i="3"/>
  <c r="J9" i="3" s="1"/>
  <c r="I10" i="3"/>
  <c r="J10" i="3" s="1"/>
  <c r="I11" i="3"/>
  <c r="J11" i="3" s="1"/>
  <c r="I7" i="3"/>
  <c r="J7" i="3" s="1"/>
  <c r="I8" i="3"/>
  <c r="J8" i="3" s="1"/>
  <c r="AT6" i="3"/>
  <c r="AT23" i="3"/>
  <c r="AS23" i="3"/>
  <c r="AR23" i="3"/>
  <c r="AR24" i="3" s="1"/>
  <c r="AU24" i="3" s="1"/>
  <c r="AT19" i="3"/>
  <c r="AS19" i="3"/>
  <c r="AR19" i="3"/>
  <c r="AR20" i="3" s="1"/>
  <c r="AT20" i="3" s="1"/>
  <c r="AT5" i="2"/>
  <c r="AU33" i="2"/>
  <c r="AX33" i="2" s="1"/>
  <c r="AU7" i="2" s="1"/>
  <c r="AV39" i="2"/>
  <c r="AU39" i="2"/>
  <c r="AZ39" i="2" s="1"/>
  <c r="AV8" i="2" s="1"/>
  <c r="J35" i="3" l="1"/>
  <c r="AS20" i="3"/>
  <c r="AQ19" i="3"/>
  <c r="N19" i="3" s="1"/>
  <c r="AS24" i="3"/>
  <c r="AQ23" i="3"/>
  <c r="J37" i="3"/>
  <c r="N6" i="3" s="1"/>
  <c r="AU19" i="3"/>
  <c r="AU23" i="3"/>
  <c r="AX39" i="2"/>
  <c r="AU8" i="2" s="1"/>
  <c r="AU9" i="2" s="1"/>
  <c r="AZ33" i="2"/>
  <c r="AV7" i="2" s="1"/>
  <c r="AV9" i="2" s="1"/>
  <c r="AO8" i="3"/>
  <c r="AV33" i="2"/>
  <c r="AU20" i="3" l="1"/>
  <c r="AQ20" i="3"/>
  <c r="N20" i="3" s="1"/>
  <c r="AT24" i="3"/>
  <c r="AQ24" i="3"/>
  <c r="N24" i="3" s="1"/>
  <c r="AR4" i="2"/>
  <c r="AP3" i="2"/>
  <c r="AP4" i="2" s="1"/>
  <c r="AQ2" i="2" s="1"/>
  <c r="AQ4" i="2"/>
  <c r="AV34" i="2"/>
  <c r="AX34" i="2" s="1"/>
  <c r="AW7" i="2" s="1"/>
  <c r="AV40" i="2"/>
  <c r="AQ3" i="2" l="1"/>
  <c r="N11" i="3" s="1"/>
  <c r="AZ34" i="2"/>
  <c r="AX7" i="2" s="1"/>
  <c r="AX40" i="2"/>
  <c r="AW8" i="2" s="1"/>
  <c r="AW9" i="2" s="1"/>
  <c r="AZ40" i="2"/>
  <c r="AX8" i="2" s="1"/>
  <c r="AX9" i="2" s="1"/>
  <c r="S11" i="3" l="1"/>
  <c r="N33" i="3" l="1"/>
  <c r="N34" i="3"/>
  <c r="AR21" i="3"/>
  <c r="AR25" i="3"/>
  <c r="AU25" i="3" s="1"/>
  <c r="AR26" i="3" l="1"/>
  <c r="AU26" i="3" s="1"/>
  <c r="N35" i="3"/>
  <c r="N36" i="3" s="1"/>
  <c r="AS25" i="3"/>
  <c r="AQ25" i="3" s="1"/>
  <c r="AT21" i="3"/>
  <c r="AS21" i="3"/>
  <c r="AQ21" i="3" s="1"/>
  <c r="AR22" i="3"/>
  <c r="AT22" i="3" s="1"/>
  <c r="AS26" i="3" l="1"/>
  <c r="AT25" i="3"/>
  <c r="N25" i="3" s="1"/>
  <c r="N21" i="3"/>
  <c r="AS22" i="3"/>
  <c r="AU21" i="3"/>
  <c r="N23" i="3" l="1"/>
  <c r="AQ22" i="3"/>
  <c r="N22" i="3" s="1"/>
  <c r="AT26" i="3"/>
  <c r="AQ26" i="3"/>
  <c r="AU10" i="2"/>
  <c r="AV10" i="2"/>
  <c r="AW10" i="2"/>
  <c r="AW11" i="2" s="1"/>
  <c r="AX10" i="2"/>
  <c r="AX11" i="2" s="1"/>
  <c r="AT99" i="2"/>
  <c r="AU22" i="3"/>
  <c r="N26" i="3" l="1"/>
  <c r="AT100" i="2" s="1"/>
  <c r="AU11" i="2"/>
  <c r="AV11" i="2"/>
  <c r="AT116" i="2"/>
  <c r="AV116" i="2" s="1"/>
  <c r="AV117" i="2" s="1"/>
  <c r="AV118" i="2" s="1"/>
  <c r="AV99" i="2"/>
  <c r="AW99" i="2" l="1"/>
  <c r="AT117" i="2"/>
  <c r="AW116" i="2" s="1"/>
  <c r="AX99" i="2"/>
  <c r="AV100" i="2"/>
  <c r="AV101" i="2" s="1"/>
  <c r="AV121" i="2" s="1"/>
  <c r="BA11" i="2" l="1"/>
  <c r="AZ11" i="2"/>
  <c r="AX116" i="2"/>
  <c r="AW117" i="2"/>
  <c r="AW118" i="2" s="1"/>
  <c r="AW121" i="2" s="1"/>
  <c r="N29" i="3" l="1"/>
  <c r="O29" i="3" s="1"/>
  <c r="N28" i="3"/>
  <c r="O28" i="3" s="1"/>
  <c r="BC11" i="2"/>
  <c r="BB11" i="2"/>
  <c r="N31" i="3" l="1"/>
  <c r="O31" i="3" s="1"/>
  <c r="N30" i="3"/>
  <c r="O30" i="3" s="1"/>
</calcChain>
</file>

<file path=xl/sharedStrings.xml><?xml version="1.0" encoding="utf-8"?>
<sst xmlns="http://schemas.openxmlformats.org/spreadsheetml/2006/main" count="157" uniqueCount="95">
  <si>
    <t>Pri</t>
  </si>
  <si>
    <t>Sec</t>
  </si>
  <si>
    <t>3 Phase T.C (KVA)</t>
  </si>
  <si>
    <t>Volt</t>
  </si>
  <si>
    <t>Amp</t>
  </si>
  <si>
    <t>Y-Y</t>
  </si>
  <si>
    <t>Fuse / Inverse Time C.B as per NEC (Amp)</t>
  </si>
  <si>
    <t>Transformer Impedance:</t>
  </si>
  <si>
    <t>Size of Transformer:</t>
  </si>
  <si>
    <t>Primary Side Voltage (L-L):</t>
  </si>
  <si>
    <t>Secondary  Side Voltage (L-L):</t>
  </si>
  <si>
    <t>Kva</t>
  </si>
  <si>
    <t>Supervised</t>
  </si>
  <si>
    <t>%Imp</t>
  </si>
  <si>
    <t>Primary</t>
  </si>
  <si>
    <t>Fuse</t>
  </si>
  <si>
    <t>C.B</t>
  </si>
  <si>
    <t>secondary</t>
  </si>
  <si>
    <t>&gt;600</t>
  </si>
  <si>
    <t>&lt;600</t>
  </si>
  <si>
    <t>C.B/Fuse</t>
  </si>
  <si>
    <t>More Than 600V</t>
  </si>
  <si>
    <t>Not Supervised</t>
  </si>
  <si>
    <t>Secondary</t>
  </si>
  <si>
    <t xml:space="preserve">C.B </t>
  </si>
  <si>
    <t>UnSupervised</t>
  </si>
  <si>
    <t>Sec.</t>
  </si>
  <si>
    <t>Prim.</t>
  </si>
  <si>
    <t>Sr.No</t>
  </si>
  <si>
    <t>Equipment</t>
  </si>
  <si>
    <t>Qty</t>
  </si>
  <si>
    <t>Kw</t>
  </si>
  <si>
    <t>D.F (Kva)</t>
  </si>
  <si>
    <t>Total Kva</t>
  </si>
  <si>
    <t>Total D.F (Kva)</t>
  </si>
  <si>
    <t>Total Load (Kva)</t>
  </si>
  <si>
    <t>Transformer Connection</t>
  </si>
  <si>
    <t>Total D.F Load</t>
  </si>
  <si>
    <t>Y-∆</t>
  </si>
  <si>
    <t>∆-Y</t>
  </si>
  <si>
    <t>∆-∆</t>
  </si>
  <si>
    <t>Y-D</t>
  </si>
  <si>
    <t>D-D</t>
  </si>
  <si>
    <t>D-Y</t>
  </si>
  <si>
    <t>Primary Line Voltage (L-L)</t>
  </si>
  <si>
    <t>Primary Phase Voltage (L-P)</t>
  </si>
  <si>
    <t>Primary Line Current(L-L):</t>
  </si>
  <si>
    <t>Primary Phase Current(L-P):</t>
  </si>
  <si>
    <t>Secondary Line Voltage (L-L)</t>
  </si>
  <si>
    <t>Secondary Phase Voltage (L-P)</t>
  </si>
  <si>
    <t>Secondary Line Current(L-L):</t>
  </si>
  <si>
    <t>Secondary Phase Current(L-P):</t>
  </si>
  <si>
    <t>P.F</t>
  </si>
  <si>
    <t>Location of Transformer</t>
  </si>
  <si>
    <t>Watt</t>
  </si>
  <si>
    <t>Full Load Copper Loss</t>
  </si>
  <si>
    <t>Total Losses@ Full Load</t>
  </si>
  <si>
    <t>Total Losses@ 1/4 Load</t>
  </si>
  <si>
    <t>Core Loss</t>
  </si>
  <si>
    <t>Maximum Rating of Over current Protection for Transformers Less than 600 Volts</t>
  </si>
  <si>
    <t>Protection</t>
  </si>
  <si>
    <t>Method</t>
  </si>
  <si>
    <t>Primary Protection</t>
  </si>
  <si>
    <t>Secondary Protection</t>
  </si>
  <si>
    <t>More than 9A</t>
  </si>
  <si>
    <t>2A to 9A</t>
  </si>
  <si>
    <t>Less than 2A</t>
  </si>
  <si>
    <t>Less than 9A</t>
  </si>
  <si>
    <t>Primary only protection</t>
  </si>
  <si>
    <t>125%(NH)</t>
  </si>
  <si>
    <t>Not required</t>
  </si>
  <si>
    <t>Primary and secondary protection</t>
  </si>
  <si>
    <t>Type Protection on Primary &amp; Secondary Side:</t>
  </si>
  <si>
    <t>Primary Only</t>
  </si>
  <si>
    <t>Pri.Side &amp; Sec.Side</t>
  </si>
  <si>
    <t>Primary &amp; Secondary protection</t>
  </si>
  <si>
    <t>N/A</t>
  </si>
  <si>
    <t>Equipment D.F</t>
  </si>
  <si>
    <t xml:space="preserve">Total Load D.F </t>
  </si>
  <si>
    <t>CONNECTED EQUIPMENT TO TRANSFORMER</t>
  </si>
  <si>
    <t>Standard Size of Fuse / C.B (Amp)</t>
  </si>
  <si>
    <t>Size of Transformer / Fuse / Circuit Breaker</t>
  </si>
  <si>
    <t>Standard Size of 3 Phase Transformer (KVA)</t>
  </si>
  <si>
    <t>Efficency of Transformer at Full Load</t>
  </si>
  <si>
    <t>Efficency of Transformer at 1/4 Load</t>
  </si>
  <si>
    <t>Transformer Losses</t>
  </si>
  <si>
    <t>Transformer Voltage / Current</t>
  </si>
  <si>
    <t>:Results:</t>
  </si>
  <si>
    <t>Transformer Details</t>
  </si>
  <si>
    <t>Jignesh.Parmar www.electricalnotes.wordpress.com,                                                                              jiguparmar@yahoo.com</t>
  </si>
  <si>
    <t>Size of Circuit Breaker / Fuse (As per NEC 450.3)</t>
  </si>
  <si>
    <t>Enter Data in White Background Cells</t>
  </si>
  <si>
    <t>Kva   OR</t>
  </si>
  <si>
    <t>Calculate Size of Transformer / Fuse / Circuit Breaker</t>
  </si>
  <si>
    <t>Calculation Size of Circuit Breaker &amp; Fuse are as per NEC 450.3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</si>
</sst>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Tahoma"/>
      <family val="2"/>
    </font>
    <font>
      <sz val="10"/>
      <color theme="1"/>
      <name val="Times New Roman"/>
      <family val="1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C00000"/>
      <name val="Arial"/>
      <family val="2"/>
    </font>
    <font>
      <b/>
      <sz val="10"/>
      <color theme="0"/>
      <name val="Arial"/>
      <family val="2"/>
    </font>
    <font>
      <sz val="14"/>
      <color theme="0"/>
      <name val="Aharoni"/>
      <charset val="177"/>
    </font>
    <font>
      <u/>
      <sz val="8.8000000000000007"/>
      <color theme="10"/>
      <name val="Calibri"/>
      <family val="2"/>
    </font>
    <font>
      <sz val="9"/>
      <color theme="0" tint="-0.14999847407452621"/>
      <name val="Arial"/>
      <family val="2"/>
    </font>
    <font>
      <sz val="10"/>
      <color theme="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9"/>
      <color rgb="FFFFFF00"/>
      <name val="Arial"/>
      <family val="2"/>
    </font>
    <font>
      <b/>
      <sz val="9"/>
      <color rgb="FF002060"/>
      <name val="Arial"/>
      <family val="2"/>
    </font>
    <font>
      <b/>
      <sz val="10"/>
      <color theme="5" tint="-0.249977111117893"/>
      <name val="Arial"/>
      <family val="2"/>
    </font>
    <font>
      <b/>
      <sz val="9"/>
      <color theme="5" tint="-0.499984740745262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b/>
      <sz val="12"/>
      <color rgb="FFFFFF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5" tint="-0.499984740745262"/>
      </left>
      <right/>
      <top style="medium">
        <color theme="5" tint="-0.499984740745262"/>
      </top>
      <bottom/>
      <diagonal/>
    </border>
    <border>
      <left/>
      <right/>
      <top style="medium">
        <color theme="5" tint="-0.499984740745262"/>
      </top>
      <bottom/>
      <diagonal/>
    </border>
    <border>
      <left/>
      <right style="medium">
        <color theme="5" tint="-0.499984740745262"/>
      </right>
      <top style="medium">
        <color theme="5" tint="-0.499984740745262"/>
      </top>
      <bottom/>
      <diagonal/>
    </border>
    <border>
      <left style="medium">
        <color theme="5" tint="-0.499984740745262"/>
      </left>
      <right/>
      <top/>
      <bottom/>
      <diagonal/>
    </border>
    <border>
      <left/>
      <right style="medium">
        <color theme="5" tint="-0.499984740745262"/>
      </right>
      <top/>
      <bottom/>
      <diagonal/>
    </border>
    <border>
      <left style="medium">
        <color theme="5" tint="-0.499984740745262"/>
      </left>
      <right/>
      <top/>
      <bottom style="medium">
        <color theme="5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5" tint="-0.499984740745262"/>
      </bottom>
      <diagonal/>
    </border>
    <border>
      <left/>
      <right style="medium">
        <color theme="5" tint="-0.499984740745262"/>
      </right>
      <top/>
      <bottom style="medium">
        <color theme="5" tint="-0.499984740745262"/>
      </bottom>
      <diagonal/>
    </border>
    <border>
      <left/>
      <right/>
      <top/>
      <bottom style="medium">
        <color theme="5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5" tint="-0.499984740745262"/>
      </left>
      <right style="thin">
        <color indexed="64"/>
      </right>
      <top style="medium">
        <color theme="5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5" tint="-0.499984740745262"/>
      </top>
      <bottom style="thin">
        <color indexed="64"/>
      </bottom>
      <diagonal/>
    </border>
    <border>
      <left style="thin">
        <color indexed="64"/>
      </left>
      <right style="medium">
        <color theme="5" tint="-0.499984740745262"/>
      </right>
      <top style="medium">
        <color theme="5" tint="-0.499984740745262"/>
      </top>
      <bottom style="thin">
        <color indexed="64"/>
      </bottom>
      <diagonal/>
    </border>
    <border>
      <left style="medium">
        <color theme="5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5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5" tint="-0.499984740745262"/>
      </left>
      <right style="thin">
        <color indexed="64"/>
      </right>
      <top style="thin">
        <color indexed="64"/>
      </top>
      <bottom style="medium">
        <color theme="5" tint="-0.499984740745262"/>
      </bottom>
      <diagonal/>
    </border>
    <border>
      <left style="thin">
        <color indexed="64"/>
      </left>
      <right style="medium">
        <color theme="5" tint="-0.499984740745262"/>
      </right>
      <top style="thin">
        <color indexed="64"/>
      </top>
      <bottom style="medium">
        <color theme="5" tint="-0.499984740745262"/>
      </bottom>
      <diagonal/>
    </border>
    <border>
      <left style="medium">
        <color theme="5" tint="-0.499984740745262"/>
      </left>
      <right/>
      <top style="medium">
        <color theme="5" tint="-0.499984740745262"/>
      </top>
      <bottom style="medium">
        <color theme="5" tint="-0.499984740745262"/>
      </bottom>
      <diagonal/>
    </border>
    <border>
      <left/>
      <right/>
      <top style="medium">
        <color theme="5" tint="-0.499984740745262"/>
      </top>
      <bottom style="medium">
        <color theme="5" tint="-0.499984740745262"/>
      </bottom>
      <diagonal/>
    </border>
    <border>
      <left/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19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3" borderId="1" xfId="0" applyFont="1" applyFill="1" applyBorder="1" applyAlignment="1" applyProtection="1">
      <alignment horizontal="center"/>
      <protection locked="0"/>
    </xf>
    <xf numFmtId="0" fontId="6" fillId="0" borderId="0" xfId="0" applyFont="1"/>
    <xf numFmtId="0" fontId="6" fillId="3" borderId="23" xfId="0" applyFont="1" applyFill="1" applyBorder="1" applyAlignment="1" applyProtection="1">
      <alignment horizont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1" fillId="7" borderId="9" xfId="0" applyFont="1" applyFill="1" applyBorder="1"/>
    <xf numFmtId="0" fontId="1" fillId="7" borderId="10" xfId="0" applyFont="1" applyFill="1" applyBorder="1"/>
    <xf numFmtId="0" fontId="1" fillId="7" borderId="11" xfId="0" applyFont="1" applyFill="1" applyBorder="1"/>
    <xf numFmtId="0" fontId="1" fillId="7" borderId="12" xfId="0" applyFont="1" applyFill="1" applyBorder="1"/>
    <xf numFmtId="0" fontId="1" fillId="7" borderId="13" xfId="0" applyFont="1" applyFill="1" applyBorder="1"/>
    <xf numFmtId="0" fontId="1" fillId="7" borderId="14" xfId="0" applyFont="1" applyFill="1" applyBorder="1"/>
    <xf numFmtId="0" fontId="1" fillId="7" borderId="15" xfId="0" applyFont="1" applyFill="1" applyBorder="1"/>
    <xf numFmtId="0" fontId="1" fillId="7" borderId="16" xfId="0" applyFont="1" applyFill="1" applyBorder="1"/>
    <xf numFmtId="0" fontId="1" fillId="0" borderId="1" xfId="0" applyFont="1" applyBorder="1" applyAlignment="1" applyProtection="1">
      <alignment horizontal="center"/>
      <protection locked="0"/>
    </xf>
    <xf numFmtId="0" fontId="6" fillId="3" borderId="43" xfId="0" applyFont="1" applyFill="1" applyBorder="1" applyProtection="1">
      <protection locked="0"/>
    </xf>
    <xf numFmtId="0" fontId="6" fillId="3" borderId="1" xfId="0" applyFont="1" applyFill="1" applyBorder="1" applyProtection="1">
      <protection locked="0"/>
    </xf>
    <xf numFmtId="9" fontId="6" fillId="3" borderId="1" xfId="0" applyNumberFormat="1" applyFont="1" applyFill="1" applyBorder="1" applyAlignment="1" applyProtection="1">
      <alignment horizontal="center"/>
      <protection locked="0"/>
    </xf>
    <xf numFmtId="0" fontId="6" fillId="3" borderId="43" xfId="0" applyFont="1" applyFill="1" applyBorder="1" applyAlignment="1" applyProtection="1">
      <alignment vertical="center"/>
      <protection locked="0"/>
    </xf>
    <xf numFmtId="0" fontId="6" fillId="3" borderId="1" xfId="0" applyFont="1" applyFill="1" applyBorder="1" applyAlignment="1" applyProtection="1">
      <alignment vertical="center"/>
      <protection locked="0"/>
    </xf>
    <xf numFmtId="0" fontId="6" fillId="3" borderId="45" xfId="0" applyFont="1" applyFill="1" applyBorder="1" applyProtection="1">
      <protection locked="0"/>
    </xf>
    <xf numFmtId="0" fontId="6" fillId="3" borderId="23" xfId="0" applyFont="1" applyFill="1" applyBorder="1" applyProtection="1">
      <protection locked="0"/>
    </xf>
    <xf numFmtId="9" fontId="6" fillId="3" borderId="23" xfId="0" applyNumberFormat="1" applyFont="1" applyFill="1" applyBorder="1" applyAlignment="1" applyProtection="1">
      <alignment horizontal="center"/>
      <protection locked="0"/>
    </xf>
    <xf numFmtId="9" fontId="8" fillId="3" borderId="1" xfId="0" applyNumberFormat="1" applyFont="1" applyFill="1" applyBorder="1" applyAlignment="1" applyProtection="1">
      <alignment horizontal="center" vertical="center"/>
      <protection locked="0"/>
    </xf>
    <xf numFmtId="0" fontId="1" fillId="5" borderId="0" xfId="0" applyFont="1" applyFill="1" applyAlignment="1" applyProtection="1">
      <alignment horizontal="center"/>
      <protection locked="0"/>
    </xf>
    <xf numFmtId="0" fontId="1" fillId="7" borderId="12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9" fontId="6" fillId="3" borderId="1" xfId="0" applyNumberFormat="1" applyFont="1" applyFill="1" applyBorder="1" applyAlignment="1" applyProtection="1">
      <alignment horizontal="center" vertical="center"/>
      <protection locked="0"/>
    </xf>
    <xf numFmtId="10" fontId="6" fillId="3" borderId="1" xfId="0" applyNumberFormat="1" applyFont="1" applyFill="1" applyBorder="1" applyAlignment="1" applyProtection="1">
      <alignment horizontal="center"/>
      <protection locked="0"/>
    </xf>
    <xf numFmtId="0" fontId="1" fillId="5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0" fontId="9" fillId="8" borderId="39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2" borderId="0" xfId="0" applyFont="1" applyFill="1" applyAlignment="1">
      <alignment horizont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1" fontId="13" fillId="0" borderId="0" xfId="0" applyNumberFormat="1" applyFont="1" applyAlignment="1">
      <alignment horizontal="center"/>
    </xf>
    <xf numFmtId="0" fontId="13" fillId="0" borderId="1" xfId="0" applyFont="1" applyBorder="1"/>
    <xf numFmtId="9" fontId="9" fillId="0" borderId="1" xfId="0" applyNumberFormat="1" applyFont="1" applyBorder="1" applyAlignment="1">
      <alignment horizontal="center"/>
    </xf>
    <xf numFmtId="0" fontId="13" fillId="2" borderId="0" xfId="0" applyFont="1" applyFill="1"/>
    <xf numFmtId="1" fontId="9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9" fontId="13" fillId="0" borderId="2" xfId="0" applyNumberFormat="1" applyFont="1" applyBorder="1" applyAlignment="1">
      <alignment horizontal="center" vertical="top" wrapText="1"/>
    </xf>
    <xf numFmtId="9" fontId="13" fillId="0" borderId="1" xfId="0" applyNumberFormat="1" applyFont="1" applyBorder="1" applyAlignment="1">
      <alignment horizontal="center" vertical="top" wrapText="1"/>
    </xf>
    <xf numFmtId="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3" fillId="0" borderId="9" xfId="0" applyFont="1" applyBorder="1"/>
    <xf numFmtId="0" fontId="13" fillId="0" borderId="10" xfId="0" applyFont="1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/>
    <xf numFmtId="9" fontId="9" fillId="0" borderId="10" xfId="0" applyNumberFormat="1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4" fillId="0" borderId="30" xfId="0" applyFont="1" applyBorder="1" applyAlignment="1">
      <alignment horizontal="center" vertical="top" wrapText="1"/>
    </xf>
    <xf numFmtId="0" fontId="15" fillId="0" borderId="31" xfId="0" applyFont="1" applyBorder="1" applyAlignment="1">
      <alignment vertical="top" wrapText="1"/>
    </xf>
    <xf numFmtId="0" fontId="14" fillId="0" borderId="32" xfId="0" applyFont="1" applyBorder="1" applyAlignment="1">
      <alignment horizontal="center" vertical="top" wrapText="1"/>
    </xf>
    <xf numFmtId="0" fontId="14" fillId="0" borderId="26" xfId="0" applyFont="1" applyBorder="1" applyAlignment="1">
      <alignment horizontal="center" vertical="top" wrapText="1"/>
    </xf>
    <xf numFmtId="0" fontId="15" fillId="0" borderId="26" xfId="0" applyFont="1" applyBorder="1" applyAlignment="1">
      <alignment horizontal="center" vertical="top" wrapText="1"/>
    </xf>
    <xf numFmtId="9" fontId="15" fillId="0" borderId="26" xfId="0" applyNumberFormat="1" applyFont="1" applyBorder="1" applyAlignment="1">
      <alignment horizontal="center" vertical="top" wrapText="1"/>
    </xf>
    <xf numFmtId="0" fontId="13" fillId="2" borderId="12" xfId="0" applyFont="1" applyFill="1" applyBorder="1" applyAlignment="1">
      <alignment horizontal="center"/>
    </xf>
    <xf numFmtId="9" fontId="13" fillId="0" borderId="0" xfId="0" applyNumberFormat="1" applyFont="1" applyAlignment="1">
      <alignment horizontal="center"/>
    </xf>
    <xf numFmtId="9" fontId="13" fillId="0" borderId="0" xfId="0" applyNumberFormat="1" applyFont="1" applyAlignment="1">
      <alignment horizontal="center" vertical="top" wrapText="1"/>
    </xf>
    <xf numFmtId="2" fontId="9" fillId="0" borderId="12" xfId="0" applyNumberFormat="1" applyFont="1" applyBorder="1" applyAlignment="1">
      <alignment horizontal="center"/>
    </xf>
    <xf numFmtId="2" fontId="13" fillId="0" borderId="0" xfId="0" applyNumberFormat="1" applyFont="1" applyAlignment="1">
      <alignment horizontal="center"/>
    </xf>
    <xf numFmtId="9" fontId="9" fillId="0" borderId="1" xfId="0" applyNumberFormat="1" applyFont="1" applyBorder="1" applyAlignment="1">
      <alignment horizontal="center" vertical="top" wrapText="1"/>
    </xf>
    <xf numFmtId="0" fontId="13" fillId="0" borderId="14" xfId="0" applyFont="1" applyBorder="1"/>
    <xf numFmtId="0" fontId="13" fillId="0" borderId="15" xfId="0" applyFont="1" applyBorder="1"/>
    <xf numFmtId="0" fontId="13" fillId="0" borderId="16" xfId="0" applyFont="1" applyBorder="1"/>
    <xf numFmtId="0" fontId="6" fillId="10" borderId="17" xfId="0" applyFont="1" applyFill="1" applyBorder="1" applyAlignment="1">
      <alignment vertical="center"/>
    </xf>
    <xf numFmtId="0" fontId="6" fillId="10" borderId="20" xfId="0" applyFont="1" applyFill="1" applyBorder="1"/>
    <xf numFmtId="0" fontId="7" fillId="10" borderId="20" xfId="0" applyFont="1" applyFill="1" applyBorder="1"/>
    <xf numFmtId="0" fontId="6" fillId="10" borderId="20" xfId="0" applyFont="1" applyFill="1" applyBorder="1" applyAlignment="1">
      <alignment vertical="center"/>
    </xf>
    <xf numFmtId="0" fontId="6" fillId="10" borderId="22" xfId="0" applyFont="1" applyFill="1" applyBorder="1" applyAlignment="1">
      <alignment vertical="center"/>
    </xf>
    <xf numFmtId="0" fontId="6" fillId="10" borderId="18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vertical="center"/>
    </xf>
    <xf numFmtId="0" fontId="6" fillId="10" borderId="19" xfId="0" applyFont="1" applyFill="1" applyBorder="1" applyAlignment="1">
      <alignment vertical="center"/>
    </xf>
    <xf numFmtId="0" fontId="7" fillId="10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6" fillId="10" borderId="0" xfId="0" applyFont="1" applyFill="1"/>
    <xf numFmtId="0" fontId="6" fillId="10" borderId="21" xfId="0" applyFont="1" applyFill="1" applyBorder="1"/>
    <xf numFmtId="0" fontId="7" fillId="10" borderId="0" xfId="0" applyFont="1" applyFill="1"/>
    <xf numFmtId="0" fontId="2" fillId="10" borderId="0" xfId="0" applyFont="1" applyFill="1"/>
    <xf numFmtId="0" fontId="7" fillId="10" borderId="0" xfId="0" applyFont="1" applyFill="1" applyAlignment="1">
      <alignment horizontal="center"/>
    </xf>
    <xf numFmtId="164" fontId="12" fillId="10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6" fillId="10" borderId="0" xfId="0" applyFont="1" applyFill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21" xfId="0" applyFont="1" applyFill="1" applyBorder="1" applyAlignment="1">
      <alignment horizontal="center" vertical="center"/>
    </xf>
    <xf numFmtId="0" fontId="6" fillId="10" borderId="25" xfId="0" applyFont="1" applyFill="1" applyBorder="1" applyAlignment="1">
      <alignment vertical="center"/>
    </xf>
    <xf numFmtId="0" fontId="6" fillId="10" borderId="24" xfId="0" applyFont="1" applyFill="1" applyBorder="1" applyAlignment="1">
      <alignment vertical="center"/>
    </xf>
    <xf numFmtId="0" fontId="6" fillId="10" borderId="25" xfId="0" applyFont="1" applyFill="1" applyBorder="1" applyAlignment="1">
      <alignment horizontal="center" vertical="center"/>
    </xf>
    <xf numFmtId="0" fontId="1" fillId="10" borderId="0" xfId="0" applyFont="1" applyFill="1"/>
    <xf numFmtId="0" fontId="6" fillId="10" borderId="0" xfId="0" applyFont="1" applyFill="1" applyAlignment="1">
      <alignment horizontal="center"/>
    </xf>
    <xf numFmtId="0" fontId="17" fillId="10" borderId="0" xfId="0" applyFont="1" applyFill="1"/>
    <xf numFmtId="0" fontId="1" fillId="10" borderId="9" xfId="0" applyFont="1" applyFill="1" applyBorder="1"/>
    <xf numFmtId="0" fontId="6" fillId="10" borderId="10" xfId="0" applyFont="1" applyFill="1" applyBorder="1"/>
    <xf numFmtId="0" fontId="6" fillId="10" borderId="10" xfId="0" applyFont="1" applyFill="1" applyBorder="1" applyAlignment="1">
      <alignment horizontal="center"/>
    </xf>
    <xf numFmtId="0" fontId="6" fillId="10" borderId="11" xfId="0" applyFont="1" applyFill="1" applyBorder="1"/>
    <xf numFmtId="0" fontId="6" fillId="10" borderId="13" xfId="0" applyFont="1" applyFill="1" applyBorder="1"/>
    <xf numFmtId="0" fontId="6" fillId="10" borderId="12" xfId="0" applyFont="1" applyFill="1" applyBorder="1"/>
    <xf numFmtId="0" fontId="6" fillId="10" borderId="13" xfId="0" applyFont="1" applyFill="1" applyBorder="1" applyAlignment="1">
      <alignment vertical="center"/>
    </xf>
    <xf numFmtId="0" fontId="6" fillId="10" borderId="12" xfId="0" applyFont="1" applyFill="1" applyBorder="1" applyAlignment="1">
      <alignment vertical="center"/>
    </xf>
    <xf numFmtId="0" fontId="6" fillId="10" borderId="16" xfId="0" applyFont="1" applyFill="1" applyBorder="1"/>
    <xf numFmtId="0" fontId="1" fillId="10" borderId="12" xfId="0" applyFont="1" applyFill="1" applyBorder="1"/>
    <xf numFmtId="0" fontId="1" fillId="10" borderId="0" xfId="0" applyFont="1" applyFill="1" applyAlignment="1">
      <alignment vertical="center"/>
    </xf>
    <xf numFmtId="0" fontId="1" fillId="10" borderId="12" xfId="0" applyFont="1" applyFill="1" applyBorder="1" applyAlignment="1">
      <alignment vertical="center"/>
    </xf>
    <xf numFmtId="0" fontId="1" fillId="10" borderId="14" xfId="0" applyFont="1" applyFill="1" applyBorder="1"/>
    <xf numFmtId="0" fontId="8" fillId="10" borderId="0" xfId="0" applyFont="1" applyFill="1" applyAlignment="1">
      <alignment horizontal="center"/>
    </xf>
    <xf numFmtId="1" fontId="6" fillId="10" borderId="0" xfId="0" applyNumberFormat="1" applyFont="1" applyFill="1" applyAlignment="1">
      <alignment horizontal="center"/>
    </xf>
    <xf numFmtId="0" fontId="6" fillId="10" borderId="15" xfId="0" applyFont="1" applyFill="1" applyBorder="1"/>
    <xf numFmtId="0" fontId="8" fillId="10" borderId="15" xfId="0" applyFont="1" applyFill="1" applyBorder="1" applyAlignment="1">
      <alignment horizontal="center"/>
    </xf>
    <xf numFmtId="0" fontId="6" fillId="10" borderId="22" xfId="0" applyFont="1" applyFill="1" applyBorder="1"/>
    <xf numFmtId="0" fontId="6" fillId="10" borderId="25" xfId="0" applyFont="1" applyFill="1" applyBorder="1" applyAlignment="1">
      <alignment horizontal="center"/>
    </xf>
    <xf numFmtId="0" fontId="6" fillId="10" borderId="25" xfId="0" applyFont="1" applyFill="1" applyBorder="1"/>
    <xf numFmtId="0" fontId="6" fillId="10" borderId="24" xfId="0" applyFont="1" applyFill="1" applyBorder="1"/>
    <xf numFmtId="1" fontId="7" fillId="10" borderId="0" xfId="0" applyNumberFormat="1" applyFont="1" applyFill="1" applyAlignment="1">
      <alignment horizontal="center"/>
    </xf>
    <xf numFmtId="0" fontId="7" fillId="10" borderId="21" xfId="0" applyFont="1" applyFill="1" applyBorder="1"/>
    <xf numFmtId="1" fontId="5" fillId="10" borderId="0" xfId="0" applyNumberFormat="1" applyFont="1" applyFill="1" applyAlignment="1">
      <alignment horizontal="center"/>
    </xf>
    <xf numFmtId="165" fontId="5" fillId="10" borderId="0" xfId="0" applyNumberFormat="1" applyFont="1" applyFill="1" applyAlignment="1">
      <alignment horizontal="center"/>
    </xf>
    <xf numFmtId="0" fontId="16" fillId="12" borderId="43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6" fillId="12" borderId="44" xfId="0" applyFont="1" applyFill="1" applyBorder="1" applyAlignment="1">
      <alignment horizontal="center" vertical="center" wrapText="1"/>
    </xf>
    <xf numFmtId="1" fontId="7" fillId="10" borderId="1" xfId="0" applyNumberFormat="1" applyFont="1" applyFill="1" applyBorder="1" applyAlignment="1">
      <alignment horizontal="center"/>
    </xf>
    <xf numFmtId="0" fontId="7" fillId="10" borderId="44" xfId="0" applyFont="1" applyFill="1" applyBorder="1" applyAlignment="1">
      <alignment horizontal="center"/>
    </xf>
    <xf numFmtId="1" fontId="7" fillId="10" borderId="1" xfId="0" applyNumberFormat="1" applyFont="1" applyFill="1" applyBorder="1" applyAlignment="1">
      <alignment horizontal="center" vertical="center"/>
    </xf>
    <xf numFmtId="0" fontId="7" fillId="10" borderId="44" xfId="0" applyFont="1" applyFill="1" applyBorder="1" applyAlignment="1">
      <alignment horizontal="center" vertical="center"/>
    </xf>
    <xf numFmtId="1" fontId="7" fillId="10" borderId="23" xfId="0" applyNumberFormat="1" applyFont="1" applyFill="1" applyBorder="1" applyAlignment="1">
      <alignment horizontal="center"/>
    </xf>
    <xf numFmtId="0" fontId="7" fillId="10" borderId="46" xfId="0" applyFont="1" applyFill="1" applyBorder="1" applyAlignment="1">
      <alignment horizontal="center"/>
    </xf>
    <xf numFmtId="0" fontId="10" fillId="11" borderId="50" xfId="0" applyFont="1" applyFill="1" applyBorder="1" applyAlignment="1">
      <alignment horizontal="center"/>
    </xf>
    <xf numFmtId="0" fontId="10" fillId="11" borderId="51" xfId="0" applyFont="1" applyFill="1" applyBorder="1" applyAlignment="1">
      <alignment horizontal="center"/>
    </xf>
    <xf numFmtId="0" fontId="10" fillId="11" borderId="52" xfId="0" applyFont="1" applyFill="1" applyBorder="1" applyAlignment="1">
      <alignment horizontal="center"/>
    </xf>
    <xf numFmtId="0" fontId="8" fillId="10" borderId="15" xfId="0" applyFont="1" applyFill="1" applyBorder="1" applyAlignment="1">
      <alignment horizontal="left"/>
    </xf>
    <xf numFmtId="0" fontId="6" fillId="5" borderId="0" xfId="0" applyFont="1" applyFill="1" applyAlignment="1" applyProtection="1">
      <alignment horizontal="center" vertical="center"/>
      <protection locked="0"/>
    </xf>
    <xf numFmtId="0" fontId="8" fillId="10" borderId="0" xfId="0" applyFont="1" applyFill="1" applyAlignment="1">
      <alignment horizontal="left"/>
    </xf>
    <xf numFmtId="0" fontId="21" fillId="6" borderId="56" xfId="0" applyFont="1" applyFill="1" applyBorder="1" applyAlignment="1">
      <alignment horizontal="center"/>
    </xf>
    <xf numFmtId="0" fontId="21" fillId="6" borderId="57" xfId="0" applyFont="1" applyFill="1" applyBorder="1" applyAlignment="1">
      <alignment horizontal="center"/>
    </xf>
    <xf numFmtId="0" fontId="21" fillId="6" borderId="58" xfId="0" applyFont="1" applyFill="1" applyBorder="1" applyAlignment="1">
      <alignment horizontal="center"/>
    </xf>
    <xf numFmtId="0" fontId="18" fillId="10" borderId="18" xfId="0" applyFont="1" applyFill="1" applyBorder="1" applyAlignment="1">
      <alignment horizontal="center" vertical="center"/>
    </xf>
    <xf numFmtId="0" fontId="22" fillId="9" borderId="47" xfId="0" applyFont="1" applyFill="1" applyBorder="1" applyAlignment="1">
      <alignment horizontal="center"/>
    </xf>
    <xf numFmtId="0" fontId="22" fillId="9" borderId="48" xfId="0" applyFont="1" applyFill="1" applyBorder="1" applyAlignment="1">
      <alignment horizontal="center"/>
    </xf>
    <xf numFmtId="0" fontId="22" fillId="9" borderId="49" xfId="0" applyFont="1" applyFill="1" applyBorder="1" applyAlignment="1">
      <alignment horizontal="center"/>
    </xf>
    <xf numFmtId="0" fontId="22" fillId="12" borderId="40" xfId="0" applyFont="1" applyFill="1" applyBorder="1" applyAlignment="1">
      <alignment horizontal="center"/>
    </xf>
    <xf numFmtId="0" fontId="22" fillId="12" borderId="41" xfId="0" applyFont="1" applyFill="1" applyBorder="1" applyAlignment="1">
      <alignment horizontal="center"/>
    </xf>
    <xf numFmtId="0" fontId="22" fillId="12" borderId="42" xfId="0" applyFont="1" applyFill="1" applyBorder="1" applyAlignment="1">
      <alignment horizontal="center"/>
    </xf>
    <xf numFmtId="0" fontId="19" fillId="10" borderId="0" xfId="1" applyFont="1" applyFill="1" applyAlignment="1" applyProtection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0" fillId="11" borderId="53" xfId="0" applyFont="1" applyFill="1" applyBorder="1" applyAlignment="1">
      <alignment horizontal="center" vertical="center"/>
    </xf>
    <xf numFmtId="0" fontId="20" fillId="11" borderId="54" xfId="0" applyFont="1" applyFill="1" applyBorder="1" applyAlignment="1">
      <alignment horizontal="center" vertical="center"/>
    </xf>
    <xf numFmtId="0" fontId="20" fillId="11" borderId="55" xfId="0" applyFont="1" applyFill="1" applyBorder="1" applyAlignment="1">
      <alignment horizontal="center" vertical="center"/>
    </xf>
    <xf numFmtId="0" fontId="14" fillId="0" borderId="27" xfId="0" applyFont="1" applyBorder="1" applyAlignment="1">
      <alignment horizontal="center" vertical="top" wrapText="1"/>
    </xf>
    <xf numFmtId="0" fontId="14" fillId="0" borderId="28" xfId="0" applyFont="1" applyBorder="1" applyAlignment="1">
      <alignment horizontal="center" vertical="top" wrapText="1"/>
    </xf>
    <xf numFmtId="0" fontId="14" fillId="0" borderId="29" xfId="0" applyFont="1" applyBorder="1" applyAlignment="1">
      <alignment horizontal="center" vertical="top" wrapText="1"/>
    </xf>
    <xf numFmtId="0" fontId="14" fillId="0" borderId="33" xfId="0" applyFont="1" applyBorder="1" applyAlignment="1">
      <alignment horizontal="center" vertical="top" wrapText="1"/>
    </xf>
    <xf numFmtId="0" fontId="14" fillId="0" borderId="34" xfId="0" applyFont="1" applyBorder="1" applyAlignment="1">
      <alignment horizontal="center" vertical="top" wrapText="1"/>
    </xf>
    <xf numFmtId="0" fontId="14" fillId="0" borderId="35" xfId="0" applyFont="1" applyBorder="1" applyAlignment="1">
      <alignment horizontal="center" vertical="top" wrapText="1"/>
    </xf>
    <xf numFmtId="0" fontId="14" fillId="0" borderId="36" xfId="0" applyFont="1" applyBorder="1" applyAlignment="1">
      <alignment horizontal="center" vertical="top" wrapText="1"/>
    </xf>
    <xf numFmtId="0" fontId="14" fillId="0" borderId="37" xfId="0" applyFont="1" applyBorder="1" applyAlignment="1">
      <alignment horizontal="center" vertical="top" wrapText="1"/>
    </xf>
    <xf numFmtId="0" fontId="14" fillId="0" borderId="38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ill>
        <patternFill>
          <bgColor theme="0"/>
        </patternFill>
      </fill>
      <border>
        <left/>
        <right/>
        <top/>
        <bottom/>
      </border>
    </dxf>
    <dxf>
      <font>
        <color theme="0" tint="-0.14996795556505021"/>
      </font>
      <fill>
        <patternFill>
          <bgColor theme="0" tint="-0.14996795556505021"/>
        </patternFill>
      </fill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</dxfs>
  <tableStyles count="0" defaultTableStyle="TableStyleMedium9" defaultPivotStyle="PivotStyleLight16"/>
  <colors>
    <mruColors>
      <color rgb="FFBAB7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Radio" checked="Checked" firstButton="1" fmlaLink="$AO$9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CheckBox" checked="Checked" fmlaLink="$AO$10" lockText="1" noThreeD="1"/>
</file>

<file path=xl/ctrlProps/ctrlProp4.xml><?xml version="1.0" encoding="utf-8"?>
<formControlPr xmlns="http://schemas.microsoft.com/office/spreadsheetml/2009/9/main" objectType="CheckBox" checked="Checked" fmlaLink="$AO$11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Sheet2!A1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TC-C.B-Fus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2543176</xdr:colOff>
      <xdr:row>0</xdr:row>
      <xdr:rowOff>57151</xdr:rowOff>
    </xdr:from>
    <xdr:to>
      <xdr:col>14</xdr:col>
      <xdr:colOff>409575</xdr:colOff>
      <xdr:row>3</xdr:row>
      <xdr:rowOff>55985</xdr:rowOff>
    </xdr:to>
    <xdr:pic>
      <xdr:nvPicPr>
        <xdr:cNvPr id="2" name="Picture 1" descr="imagesCAZ1M9NT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62976" y="57151"/>
          <a:ext cx="1371599" cy="608434"/>
        </a:xfrm>
        <a:prstGeom prst="rect">
          <a:avLst/>
        </a:prstGeom>
      </xdr:spPr>
    </xdr:pic>
    <xdr:clientData/>
  </xdr:twoCellAnchor>
  <xdr:twoCellAnchor>
    <xdr:from>
      <xdr:col>14</xdr:col>
      <xdr:colOff>514349</xdr:colOff>
      <xdr:row>0</xdr:row>
      <xdr:rowOff>152399</xdr:rowOff>
    </xdr:from>
    <xdr:to>
      <xdr:col>18</xdr:col>
      <xdr:colOff>19050</xdr:colOff>
      <xdr:row>3</xdr:row>
      <xdr:rowOff>28575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039349" y="152399"/>
          <a:ext cx="1019176" cy="485776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900" b="1">
              <a:latin typeface="Arial" pitchFamily="34" charset="0"/>
              <a:cs typeface="Arial" pitchFamily="34" charset="0"/>
            </a:rPr>
            <a:t>Enter Detail of TC/CB/Fuse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12700</xdr:colOff>
          <xdr:row>13</xdr:row>
          <xdr:rowOff>0</xdr:rowOff>
        </xdr:from>
        <xdr:to>
          <xdr:col>14</xdr:col>
          <xdr:colOff>431800</xdr:colOff>
          <xdr:row>14</xdr:row>
          <xdr:rowOff>12700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2C95ADB2-0FC4-7911-E955-5833C40D0F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Supervised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393700</xdr:colOff>
          <xdr:row>12</xdr:row>
          <xdr:rowOff>203200</xdr:rowOff>
        </xdr:from>
        <xdr:to>
          <xdr:col>16</xdr:col>
          <xdr:colOff>165100</xdr:colOff>
          <xdr:row>14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541E3A29-A621-3220-8D61-45E21C7096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Not Supervised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3822700</xdr:colOff>
          <xdr:row>15</xdr:row>
          <xdr:rowOff>50800</xdr:rowOff>
        </xdr:from>
        <xdr:to>
          <xdr:col>14</xdr:col>
          <xdr:colOff>508000</xdr:colOff>
          <xdr:row>15</xdr:row>
          <xdr:rowOff>266700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750B8FAF-F6DB-C4E6-2FD0-C32CFD775F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Circuit Breaker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457200</xdr:colOff>
          <xdr:row>15</xdr:row>
          <xdr:rowOff>50800</xdr:rowOff>
        </xdr:from>
        <xdr:to>
          <xdr:col>16</xdr:col>
          <xdr:colOff>266700</xdr:colOff>
          <xdr:row>15</xdr:row>
          <xdr:rowOff>266700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8124941F-C235-E31D-15DD-459A503078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Fuse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1</xdr:row>
      <xdr:rowOff>76200</xdr:rowOff>
    </xdr:from>
    <xdr:to>
      <xdr:col>10</xdr:col>
      <xdr:colOff>142876</xdr:colOff>
      <xdr:row>3</xdr:row>
      <xdr:rowOff>142876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324600" y="247650"/>
          <a:ext cx="1019176" cy="485776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lectricalnotes.wordpress.com/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7"/>
  <sheetViews>
    <sheetView showGridLines="0" tabSelected="1" zoomScale="165" zoomScaleNormal="90" workbookViewId="0">
      <selection activeCell="D10" sqref="D10"/>
    </sheetView>
  </sheetViews>
  <sheetFormatPr baseColWidth="10" defaultColWidth="9.1640625" defaultRowHeight="13" x14ac:dyDescent="0.15"/>
  <cols>
    <col min="1" max="1" width="2.33203125" style="1" customWidth="1"/>
    <col min="2" max="2" width="1" style="1" customWidth="1"/>
    <col min="3" max="3" width="5.5" style="6" customWidth="1"/>
    <col min="4" max="4" width="29" style="6" customWidth="1"/>
    <col min="5" max="6" width="6.5" style="14" customWidth="1"/>
    <col min="7" max="7" width="5.33203125" style="6" customWidth="1"/>
    <col min="8" max="8" width="12.33203125" style="6" customWidth="1"/>
    <col min="9" max="10" width="9.1640625" style="6"/>
    <col min="11" max="11" width="1" style="6" customWidth="1"/>
    <col min="12" max="12" width="2.5" style="6" customWidth="1"/>
    <col min="13" max="13" width="43.5" style="6" customWidth="1"/>
    <col min="14" max="14" width="9.1640625" style="14"/>
    <col min="15" max="15" width="9.1640625" style="6"/>
    <col min="16" max="16" width="8.33203125" style="6" customWidth="1"/>
    <col min="17" max="17" width="4" style="6" customWidth="1"/>
    <col min="18" max="18" width="1.33203125" style="6" customWidth="1"/>
    <col min="19" max="40" width="9.1640625" style="1" customWidth="1"/>
    <col min="41" max="41" width="8.83203125" style="1" hidden="1" customWidth="1"/>
    <col min="42" max="43" width="0" style="1" hidden="1" customWidth="1"/>
    <col min="44" max="46" width="0" style="2" hidden="1" customWidth="1"/>
    <col min="47" max="47" width="18.83203125" style="2" hidden="1" customWidth="1"/>
    <col min="48" max="48" width="0" style="1" hidden="1" customWidth="1"/>
    <col min="49" max="16384" width="9.1640625" style="1"/>
  </cols>
  <sheetData>
    <row r="1" spans="1:47" ht="14" thickBot="1" x14ac:dyDescent="0.2">
      <c r="A1" s="110"/>
      <c r="B1" s="110"/>
      <c r="C1" s="96"/>
      <c r="D1" s="98" t="s">
        <v>91</v>
      </c>
      <c r="E1" s="111"/>
      <c r="F1" s="111"/>
      <c r="G1" s="96"/>
      <c r="H1" s="96"/>
      <c r="I1" s="96"/>
      <c r="J1" s="96"/>
      <c r="K1" s="96"/>
      <c r="L1" s="96"/>
      <c r="M1" s="96"/>
      <c r="N1" s="111"/>
      <c r="O1" s="96"/>
      <c r="P1" s="96"/>
      <c r="Q1" s="96"/>
      <c r="R1" s="96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"/>
    </row>
    <row r="2" spans="1:47" ht="20" thickTop="1" thickBot="1" x14ac:dyDescent="0.3">
      <c r="A2" s="110"/>
      <c r="B2" s="110"/>
      <c r="C2" s="147" t="s">
        <v>93</v>
      </c>
      <c r="D2" s="148"/>
      <c r="E2" s="148"/>
      <c r="F2" s="148"/>
      <c r="G2" s="148"/>
      <c r="H2" s="148"/>
      <c r="I2" s="148"/>
      <c r="J2" s="149"/>
      <c r="K2" s="96"/>
      <c r="L2" s="96"/>
      <c r="M2" s="163" t="s">
        <v>89</v>
      </c>
      <c r="N2" s="111"/>
      <c r="O2" s="96"/>
      <c r="P2" s="96"/>
      <c r="Q2" s="96"/>
      <c r="R2" s="96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"/>
    </row>
    <row r="3" spans="1:47" ht="15" thickTop="1" thickBot="1" x14ac:dyDescent="0.2">
      <c r="A3" s="110"/>
      <c r="B3" s="110"/>
      <c r="C3" s="96"/>
      <c r="D3" s="112" t="s">
        <v>94</v>
      </c>
      <c r="E3" s="111"/>
      <c r="F3" s="111"/>
      <c r="G3" s="96"/>
      <c r="H3" s="96"/>
      <c r="I3" s="96"/>
      <c r="J3" s="96"/>
      <c r="K3" s="96"/>
      <c r="L3" s="96"/>
      <c r="M3" s="163"/>
      <c r="N3" s="96"/>
      <c r="O3" s="96"/>
      <c r="P3" s="96"/>
      <c r="Q3" s="96"/>
      <c r="R3" s="96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"/>
    </row>
    <row r="4" spans="1:47" ht="9" customHeight="1" thickBot="1" x14ac:dyDescent="0.2">
      <c r="A4" s="110"/>
      <c r="B4" s="113"/>
      <c r="C4" s="114"/>
      <c r="D4" s="114"/>
      <c r="E4" s="115"/>
      <c r="F4" s="115"/>
      <c r="G4" s="114"/>
      <c r="H4" s="114"/>
      <c r="I4" s="114"/>
      <c r="J4" s="114"/>
      <c r="K4" s="116"/>
      <c r="L4" s="96"/>
      <c r="M4" s="96"/>
      <c r="N4" s="96"/>
      <c r="O4" s="96"/>
      <c r="P4" s="96"/>
      <c r="Q4" s="96"/>
      <c r="R4" s="96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"/>
    </row>
    <row r="5" spans="1:47" ht="15" customHeight="1" thickBot="1" x14ac:dyDescent="0.25">
      <c r="A5" s="110"/>
      <c r="B5" s="122"/>
      <c r="C5" s="160" t="s">
        <v>79</v>
      </c>
      <c r="D5" s="161"/>
      <c r="E5" s="161"/>
      <c r="F5" s="161"/>
      <c r="G5" s="161"/>
      <c r="H5" s="161"/>
      <c r="I5" s="161"/>
      <c r="J5" s="162"/>
      <c r="K5" s="117"/>
      <c r="L5" s="118"/>
      <c r="M5" s="157" t="s">
        <v>88</v>
      </c>
      <c r="N5" s="158"/>
      <c r="O5" s="158"/>
      <c r="P5" s="158"/>
      <c r="Q5" s="159"/>
      <c r="R5" s="96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"/>
    </row>
    <row r="6" spans="1:47" s="38" customFormat="1" x14ac:dyDescent="0.2">
      <c r="A6" s="123"/>
      <c r="B6" s="124"/>
      <c r="C6" s="138" t="s">
        <v>28</v>
      </c>
      <c r="D6" s="139" t="s">
        <v>29</v>
      </c>
      <c r="E6" s="139" t="s">
        <v>31</v>
      </c>
      <c r="F6" s="139" t="s">
        <v>52</v>
      </c>
      <c r="G6" s="139" t="s">
        <v>30</v>
      </c>
      <c r="H6" s="139" t="s">
        <v>77</v>
      </c>
      <c r="I6" s="139" t="s">
        <v>33</v>
      </c>
      <c r="J6" s="140" t="s">
        <v>32</v>
      </c>
      <c r="K6" s="119"/>
      <c r="L6" s="120"/>
      <c r="M6" s="86" t="s">
        <v>37</v>
      </c>
      <c r="N6" s="91">
        <f>J37</f>
        <v>3</v>
      </c>
      <c r="O6" s="92" t="s">
        <v>11</v>
      </c>
      <c r="P6" s="92"/>
      <c r="Q6" s="93"/>
      <c r="R6" s="94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41"/>
      <c r="AR6" s="42"/>
      <c r="AS6" s="42" t="s">
        <v>5</v>
      </c>
      <c r="AT6" s="42">
        <f>IF(N10=AS6,1,IF(N10=AS7,2,IF(N10=AS8,3,4)))</f>
        <v>1</v>
      </c>
      <c r="AU6" s="42"/>
    </row>
    <row r="7" spans="1:47" x14ac:dyDescent="0.15">
      <c r="A7" s="110"/>
      <c r="B7" s="122"/>
      <c r="C7" s="26"/>
      <c r="D7" s="27"/>
      <c r="E7" s="5">
        <v>3</v>
      </c>
      <c r="F7" s="5">
        <v>1</v>
      </c>
      <c r="G7" s="5">
        <v>1</v>
      </c>
      <c r="H7" s="28">
        <v>1</v>
      </c>
      <c r="I7" s="141">
        <f t="shared" ref="I7:I13" si="0">IF(G7="",0,((E7/F7)*G7))</f>
        <v>3</v>
      </c>
      <c r="J7" s="142">
        <f t="shared" ref="J7:J13" si="1">I7*H7</f>
        <v>3</v>
      </c>
      <c r="K7" s="117"/>
      <c r="L7" s="118"/>
      <c r="M7" s="87" t="s">
        <v>9</v>
      </c>
      <c r="N7" s="5">
        <v>415</v>
      </c>
      <c r="O7" s="96" t="s">
        <v>3</v>
      </c>
      <c r="P7" s="96"/>
      <c r="Q7" s="97"/>
      <c r="R7" s="98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12">
        <f>IF(N7&lt;600,0,1)</f>
        <v>0</v>
      </c>
      <c r="AS7" s="2" t="s">
        <v>40</v>
      </c>
      <c r="AT7" s="4"/>
      <c r="AU7" s="2" t="s">
        <v>73</v>
      </c>
    </row>
    <row r="8" spans="1:47" x14ac:dyDescent="0.15">
      <c r="A8" s="110"/>
      <c r="B8" s="122"/>
      <c r="C8" s="26"/>
      <c r="D8" s="27"/>
      <c r="E8" s="5"/>
      <c r="F8" s="5"/>
      <c r="G8" s="27"/>
      <c r="H8" s="28"/>
      <c r="I8" s="141">
        <f t="shared" si="0"/>
        <v>0</v>
      </c>
      <c r="J8" s="142">
        <f t="shared" si="1"/>
        <v>0</v>
      </c>
      <c r="K8" s="117"/>
      <c r="L8" s="118"/>
      <c r="M8" s="87" t="s">
        <v>10</v>
      </c>
      <c r="N8" s="5">
        <v>230</v>
      </c>
      <c r="O8" s="96" t="s">
        <v>3</v>
      </c>
      <c r="P8" s="96"/>
      <c r="Q8" s="97"/>
      <c r="R8" s="98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12">
        <f>IF(N8&lt;600,0,1)</f>
        <v>0</v>
      </c>
      <c r="AS8" s="2" t="s">
        <v>38</v>
      </c>
      <c r="AU8" s="2" t="s">
        <v>74</v>
      </c>
    </row>
    <row r="9" spans="1:47" x14ac:dyDescent="0.15">
      <c r="A9" s="110"/>
      <c r="B9" s="122"/>
      <c r="C9" s="26"/>
      <c r="D9" s="27"/>
      <c r="E9" s="5"/>
      <c r="F9" s="5"/>
      <c r="G9" s="27"/>
      <c r="H9" s="28"/>
      <c r="I9" s="141">
        <f t="shared" si="0"/>
        <v>0</v>
      </c>
      <c r="J9" s="142">
        <f t="shared" si="1"/>
        <v>0</v>
      </c>
      <c r="K9" s="117"/>
      <c r="L9" s="118"/>
      <c r="M9" s="87" t="s">
        <v>7</v>
      </c>
      <c r="N9" s="28">
        <v>0.05</v>
      </c>
      <c r="O9" s="96"/>
      <c r="P9" s="96"/>
      <c r="Q9" s="97"/>
      <c r="R9" s="98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35">
        <v>1</v>
      </c>
      <c r="AS9" s="2" t="s">
        <v>39</v>
      </c>
    </row>
    <row r="10" spans="1:47" x14ac:dyDescent="0.15">
      <c r="A10" s="110"/>
      <c r="B10" s="122"/>
      <c r="C10" s="26"/>
      <c r="D10" s="27"/>
      <c r="E10" s="5"/>
      <c r="F10" s="5"/>
      <c r="G10" s="27"/>
      <c r="H10" s="28"/>
      <c r="I10" s="141">
        <f t="shared" si="0"/>
        <v>0</v>
      </c>
      <c r="J10" s="142">
        <f t="shared" si="1"/>
        <v>0</v>
      </c>
      <c r="K10" s="117"/>
      <c r="L10" s="118"/>
      <c r="M10" s="87" t="s">
        <v>36</v>
      </c>
      <c r="N10" s="5" t="s">
        <v>5</v>
      </c>
      <c r="O10" s="96"/>
      <c r="P10" s="96"/>
      <c r="Q10" s="97"/>
      <c r="R10" s="98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35" t="b">
        <v>1</v>
      </c>
    </row>
    <row r="11" spans="1:47" ht="12.75" customHeight="1" x14ac:dyDescent="0.15">
      <c r="A11" s="110"/>
      <c r="B11" s="122"/>
      <c r="C11" s="26"/>
      <c r="D11" s="27"/>
      <c r="E11" s="5"/>
      <c r="F11" s="5"/>
      <c r="G11" s="27"/>
      <c r="H11" s="28"/>
      <c r="I11" s="141">
        <f t="shared" si="0"/>
        <v>0</v>
      </c>
      <c r="J11" s="142">
        <f t="shared" si="1"/>
        <v>0</v>
      </c>
      <c r="K11" s="117"/>
      <c r="L11" s="118"/>
      <c r="M11" s="88" t="s">
        <v>8</v>
      </c>
      <c r="N11" s="100">
        <f>IF(N6=0,0,Sheet2!AQ3)</f>
        <v>3</v>
      </c>
      <c r="O11" s="96" t="s">
        <v>92</v>
      </c>
      <c r="P11" s="5"/>
      <c r="Q11" s="97" t="s">
        <v>11</v>
      </c>
      <c r="R11" s="98"/>
      <c r="S11" s="102">
        <f>IF(P11="",N11,P11)</f>
        <v>3</v>
      </c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35" t="b">
        <v>1</v>
      </c>
    </row>
    <row r="12" spans="1:47" ht="12.75" customHeight="1" x14ac:dyDescent="0.15">
      <c r="A12" s="110"/>
      <c r="B12" s="122"/>
      <c r="C12" s="26"/>
      <c r="D12" s="27"/>
      <c r="E12" s="5"/>
      <c r="F12" s="5"/>
      <c r="G12" s="27"/>
      <c r="H12" s="28"/>
      <c r="I12" s="141">
        <f t="shared" si="0"/>
        <v>0</v>
      </c>
      <c r="J12" s="142">
        <f t="shared" si="1"/>
        <v>0</v>
      </c>
      <c r="K12" s="117"/>
      <c r="L12" s="118"/>
      <c r="M12" s="87" t="s">
        <v>83</v>
      </c>
      <c r="N12" s="40">
        <v>0.98399999999999999</v>
      </c>
      <c r="O12" s="101">
        <f>N12</f>
        <v>0.98399999999999999</v>
      </c>
      <c r="P12" s="96"/>
      <c r="Q12" s="97"/>
      <c r="R12" s="98"/>
      <c r="S12" s="102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35"/>
    </row>
    <row r="13" spans="1:47" ht="12.75" customHeight="1" x14ac:dyDescent="0.15">
      <c r="A13" s="110"/>
      <c r="B13" s="122"/>
      <c r="C13" s="26"/>
      <c r="D13" s="27"/>
      <c r="E13" s="5"/>
      <c r="F13" s="5"/>
      <c r="G13" s="27"/>
      <c r="H13" s="28"/>
      <c r="I13" s="141">
        <f t="shared" si="0"/>
        <v>0</v>
      </c>
      <c r="J13" s="142">
        <f t="shared" si="1"/>
        <v>0</v>
      </c>
      <c r="K13" s="117"/>
      <c r="L13" s="118"/>
      <c r="M13" s="87" t="s">
        <v>84</v>
      </c>
      <c r="N13" s="40">
        <v>0.97499999999999998</v>
      </c>
      <c r="O13" s="101">
        <f>N13</f>
        <v>0.97499999999999998</v>
      </c>
      <c r="P13" s="96"/>
      <c r="Q13" s="97"/>
      <c r="R13" s="98"/>
      <c r="S13" s="102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35"/>
    </row>
    <row r="14" spans="1:47" s="38" customFormat="1" ht="16.5" customHeight="1" x14ac:dyDescent="0.2">
      <c r="A14" s="123"/>
      <c r="B14" s="124"/>
      <c r="C14" s="29"/>
      <c r="D14" s="30"/>
      <c r="E14" s="8"/>
      <c r="F14" s="8"/>
      <c r="G14" s="30"/>
      <c r="H14" s="39"/>
      <c r="I14" s="143">
        <f t="shared" ref="I14:I34" si="2">IF(G14="",0,((E14/F14)*G14))</f>
        <v>0</v>
      </c>
      <c r="J14" s="144">
        <f t="shared" ref="J14:J34" si="3">I14*H14</f>
        <v>0</v>
      </c>
      <c r="K14" s="119"/>
      <c r="L14" s="120"/>
      <c r="M14" s="89" t="s">
        <v>53</v>
      </c>
      <c r="N14" s="103"/>
      <c r="O14" s="103"/>
      <c r="P14" s="103"/>
      <c r="Q14" s="104"/>
      <c r="R14" s="103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3"/>
      <c r="AR14" s="42"/>
      <c r="AS14" s="42"/>
      <c r="AT14" s="42"/>
      <c r="AU14" s="42"/>
    </row>
    <row r="15" spans="1:47" s="38" customFormat="1" ht="15" customHeight="1" x14ac:dyDescent="0.2">
      <c r="A15" s="123"/>
      <c r="B15" s="124"/>
      <c r="C15" s="29"/>
      <c r="D15" s="30"/>
      <c r="E15" s="8"/>
      <c r="F15" s="8"/>
      <c r="G15" s="30"/>
      <c r="H15" s="39"/>
      <c r="I15" s="143">
        <f t="shared" si="2"/>
        <v>0</v>
      </c>
      <c r="J15" s="144">
        <f t="shared" si="3"/>
        <v>0</v>
      </c>
      <c r="K15" s="119"/>
      <c r="L15" s="120"/>
      <c r="M15" s="89" t="str">
        <f>IF(N7&lt;600,"Provide Protection on Transformer:","")</f>
        <v>Provide Protection on Transformer:</v>
      </c>
      <c r="N15" s="151" t="s">
        <v>73</v>
      </c>
      <c r="O15" s="151"/>
      <c r="P15" s="105"/>
      <c r="Q15" s="106"/>
      <c r="R15" s="103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3"/>
      <c r="AR15" s="42"/>
      <c r="AS15" s="42"/>
      <c r="AT15" s="42"/>
      <c r="AU15" s="42"/>
    </row>
    <row r="16" spans="1:47" s="38" customFormat="1" ht="21.75" customHeight="1" thickBot="1" x14ac:dyDescent="0.25">
      <c r="A16" s="123"/>
      <c r="B16" s="124"/>
      <c r="C16" s="29"/>
      <c r="D16" s="30"/>
      <c r="E16" s="8"/>
      <c r="F16" s="8"/>
      <c r="G16" s="30"/>
      <c r="H16" s="39"/>
      <c r="I16" s="143">
        <f t="shared" si="2"/>
        <v>0</v>
      </c>
      <c r="J16" s="144">
        <f t="shared" si="3"/>
        <v>0</v>
      </c>
      <c r="K16" s="119"/>
      <c r="L16" s="120"/>
      <c r="M16" s="90" t="s">
        <v>72</v>
      </c>
      <c r="N16" s="109"/>
      <c r="O16" s="107"/>
      <c r="P16" s="107"/>
      <c r="Q16" s="108"/>
      <c r="R16" s="103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41"/>
      <c r="AR16" s="42">
        <v>1</v>
      </c>
      <c r="AS16" s="42">
        <v>2</v>
      </c>
      <c r="AT16" s="42">
        <v>3</v>
      </c>
      <c r="AU16" s="42">
        <v>4</v>
      </c>
    </row>
    <row r="17" spans="1:47" ht="14" thickBot="1" x14ac:dyDescent="0.2">
      <c r="A17" s="110"/>
      <c r="B17" s="122"/>
      <c r="C17" s="26"/>
      <c r="D17" s="27"/>
      <c r="E17" s="5"/>
      <c r="F17" s="5"/>
      <c r="G17" s="27"/>
      <c r="H17" s="28"/>
      <c r="I17" s="141">
        <f>IF(G17="",0,((E17/F17)*G17))</f>
        <v>0</v>
      </c>
      <c r="J17" s="142">
        <f>I17*H17</f>
        <v>0</v>
      </c>
      <c r="K17" s="117"/>
      <c r="L17" s="118"/>
      <c r="M17" s="156" t="s">
        <v>87</v>
      </c>
      <c r="N17" s="156"/>
      <c r="O17" s="156"/>
      <c r="P17" s="156"/>
      <c r="Q17" s="156"/>
      <c r="R17" s="103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1"/>
      <c r="AR17" s="2">
        <v>1</v>
      </c>
      <c r="AS17" s="2">
        <v>2</v>
      </c>
      <c r="AT17" s="2">
        <v>3</v>
      </c>
      <c r="AU17" s="2">
        <v>4</v>
      </c>
    </row>
    <row r="18" spans="1:47" ht="15.75" customHeight="1" thickBot="1" x14ac:dyDescent="0.25">
      <c r="A18" s="110"/>
      <c r="B18" s="122"/>
      <c r="C18" s="29"/>
      <c r="D18" s="30"/>
      <c r="E18" s="8"/>
      <c r="F18" s="8"/>
      <c r="G18" s="30"/>
      <c r="H18" s="28"/>
      <c r="I18" s="141">
        <f t="shared" si="2"/>
        <v>0</v>
      </c>
      <c r="J18" s="142">
        <f t="shared" si="3"/>
        <v>0</v>
      </c>
      <c r="K18" s="117"/>
      <c r="L18" s="118"/>
      <c r="M18" s="153" t="s">
        <v>86</v>
      </c>
      <c r="N18" s="154"/>
      <c r="O18" s="154"/>
      <c r="P18" s="154"/>
      <c r="Q18" s="155"/>
      <c r="R18" s="96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1"/>
      <c r="AR18" s="2" t="s">
        <v>5</v>
      </c>
      <c r="AS18" s="2" t="s">
        <v>42</v>
      </c>
      <c r="AT18" s="2" t="s">
        <v>41</v>
      </c>
      <c r="AU18" s="2" t="s">
        <v>43</v>
      </c>
    </row>
    <row r="19" spans="1:47" ht="12.75" customHeight="1" x14ac:dyDescent="0.15">
      <c r="A19" s="110"/>
      <c r="B19" s="122"/>
      <c r="C19" s="26"/>
      <c r="D19" s="27"/>
      <c r="E19" s="5"/>
      <c r="F19" s="5"/>
      <c r="G19" s="27"/>
      <c r="H19" s="28"/>
      <c r="I19" s="141">
        <f t="shared" si="2"/>
        <v>0</v>
      </c>
      <c r="J19" s="142">
        <f t="shared" si="3"/>
        <v>0</v>
      </c>
      <c r="K19" s="117"/>
      <c r="L19" s="118"/>
      <c r="M19" s="87" t="s">
        <v>44</v>
      </c>
      <c r="N19" s="136">
        <f t="shared" ref="N19:N26" si="4">AQ19</f>
        <v>415</v>
      </c>
      <c r="O19" s="96" t="s">
        <v>3</v>
      </c>
      <c r="P19" s="98"/>
      <c r="Q19" s="135"/>
      <c r="R19" s="98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1"/>
      <c r="AQ19" s="3">
        <f>HLOOKUP($AT$6,$AR$17:$AU$26,3,0)</f>
        <v>415</v>
      </c>
      <c r="AR19" s="2">
        <f>N7</f>
        <v>415</v>
      </c>
      <c r="AS19" s="2">
        <f>N7</f>
        <v>415</v>
      </c>
      <c r="AT19" s="2">
        <f>N7</f>
        <v>415</v>
      </c>
      <c r="AU19" s="2">
        <f>AS19</f>
        <v>415</v>
      </c>
    </row>
    <row r="20" spans="1:47" ht="12.75" customHeight="1" x14ac:dyDescent="0.15">
      <c r="A20" s="110"/>
      <c r="B20" s="122"/>
      <c r="C20" s="26"/>
      <c r="D20" s="27"/>
      <c r="E20" s="5"/>
      <c r="F20" s="5"/>
      <c r="G20" s="27"/>
      <c r="H20" s="28"/>
      <c r="I20" s="141">
        <f t="shared" si="2"/>
        <v>0</v>
      </c>
      <c r="J20" s="142">
        <f t="shared" si="3"/>
        <v>0</v>
      </c>
      <c r="K20" s="117"/>
      <c r="L20" s="118"/>
      <c r="M20" s="87" t="s">
        <v>45</v>
      </c>
      <c r="N20" s="136">
        <f t="shared" si="4"/>
        <v>239.60739030023095</v>
      </c>
      <c r="O20" s="96" t="s">
        <v>3</v>
      </c>
      <c r="P20" s="98"/>
      <c r="Q20" s="135"/>
      <c r="R20" s="98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1"/>
      <c r="AQ20" s="3">
        <f>HLOOKUP($AT$6,$AR$17:$AU$26,4,0)</f>
        <v>239.60739030023095</v>
      </c>
      <c r="AR20" s="3">
        <f>AR19/1.732</f>
        <v>239.60739030023095</v>
      </c>
      <c r="AS20" s="2">
        <f>AS19</f>
        <v>415</v>
      </c>
      <c r="AT20" s="3">
        <f>AR20</f>
        <v>239.60739030023095</v>
      </c>
      <c r="AU20" s="2">
        <f>AS20</f>
        <v>415</v>
      </c>
    </row>
    <row r="21" spans="1:47" ht="12.75" customHeight="1" x14ac:dyDescent="0.15">
      <c r="A21" s="110"/>
      <c r="B21" s="122"/>
      <c r="C21" s="26"/>
      <c r="D21" s="27"/>
      <c r="E21" s="5"/>
      <c r="F21" s="5"/>
      <c r="G21" s="27"/>
      <c r="H21" s="28"/>
      <c r="I21" s="141">
        <f t="shared" si="2"/>
        <v>0</v>
      </c>
      <c r="J21" s="142">
        <f t="shared" si="3"/>
        <v>0</v>
      </c>
      <c r="K21" s="117"/>
      <c r="L21" s="118"/>
      <c r="M21" s="87" t="s">
        <v>46</v>
      </c>
      <c r="N21" s="136">
        <f t="shared" si="4"/>
        <v>4.1737388352486162</v>
      </c>
      <c r="O21" s="96" t="s">
        <v>4</v>
      </c>
      <c r="P21" s="98"/>
      <c r="Q21" s="135"/>
      <c r="R21" s="98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1"/>
      <c r="AQ21" s="3">
        <f>HLOOKUP($AT$6,$AR$17:$AU$26,5,0)</f>
        <v>4.1737388352486162</v>
      </c>
      <c r="AR21" s="3">
        <f>(S11*1000)/(1.732*N7)</f>
        <v>4.1737388352486162</v>
      </c>
      <c r="AS21" s="3">
        <f>AR21</f>
        <v>4.1737388352486162</v>
      </c>
      <c r="AT21" s="3">
        <f>AR21</f>
        <v>4.1737388352486162</v>
      </c>
      <c r="AU21" s="3">
        <f>AS21</f>
        <v>4.1737388352486162</v>
      </c>
    </row>
    <row r="22" spans="1:47" ht="12.75" customHeight="1" x14ac:dyDescent="0.15">
      <c r="A22" s="110"/>
      <c r="B22" s="122"/>
      <c r="C22" s="26"/>
      <c r="D22" s="27"/>
      <c r="E22" s="5"/>
      <c r="F22" s="5"/>
      <c r="G22" s="27"/>
      <c r="H22" s="28"/>
      <c r="I22" s="141">
        <f t="shared" si="2"/>
        <v>0</v>
      </c>
      <c r="J22" s="142">
        <f t="shared" si="3"/>
        <v>0</v>
      </c>
      <c r="K22" s="117"/>
      <c r="L22" s="118"/>
      <c r="M22" s="87" t="s">
        <v>47</v>
      </c>
      <c r="N22" s="136">
        <f t="shared" si="4"/>
        <v>4.1737388352486162</v>
      </c>
      <c r="O22" s="96" t="s">
        <v>4</v>
      </c>
      <c r="P22" s="98"/>
      <c r="Q22" s="135"/>
      <c r="R22" s="98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1"/>
      <c r="AQ22" s="3">
        <f>HLOOKUP($AT$6,$AR$17:$AU$26,6,0)</f>
        <v>4.1737388352486162</v>
      </c>
      <c r="AR22" s="3">
        <f>AR21</f>
        <v>4.1737388352486162</v>
      </c>
      <c r="AS22" s="3">
        <f>AS21/1.732</f>
        <v>2.4097799279726422</v>
      </c>
      <c r="AT22" s="3">
        <f>AR22</f>
        <v>4.1737388352486162</v>
      </c>
      <c r="AU22" s="3">
        <f>AS22</f>
        <v>2.4097799279726422</v>
      </c>
    </row>
    <row r="23" spans="1:47" ht="12.75" customHeight="1" x14ac:dyDescent="0.15">
      <c r="A23" s="110"/>
      <c r="B23" s="122"/>
      <c r="C23" s="26"/>
      <c r="D23" s="27"/>
      <c r="E23" s="5"/>
      <c r="F23" s="5"/>
      <c r="G23" s="27"/>
      <c r="H23" s="28"/>
      <c r="I23" s="141">
        <f t="shared" si="2"/>
        <v>0</v>
      </c>
      <c r="J23" s="142">
        <f t="shared" si="3"/>
        <v>0</v>
      </c>
      <c r="K23" s="117"/>
      <c r="L23" s="118"/>
      <c r="M23" s="87" t="s">
        <v>48</v>
      </c>
      <c r="N23" s="136">
        <f t="shared" si="4"/>
        <v>230</v>
      </c>
      <c r="O23" s="96" t="s">
        <v>3</v>
      </c>
      <c r="P23" s="98"/>
      <c r="Q23" s="135"/>
      <c r="R23" s="98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1"/>
      <c r="AQ23" s="3">
        <f>HLOOKUP($AT$6,$AR$17:$AU$26,7,0)</f>
        <v>230</v>
      </c>
      <c r="AR23" s="2">
        <f>N8</f>
        <v>230</v>
      </c>
      <c r="AS23" s="2">
        <f>N8</f>
        <v>230</v>
      </c>
      <c r="AT23" s="2">
        <f>N8</f>
        <v>230</v>
      </c>
      <c r="AU23" s="2">
        <f>AR23</f>
        <v>230</v>
      </c>
    </row>
    <row r="24" spans="1:47" ht="12.75" customHeight="1" x14ac:dyDescent="0.15">
      <c r="A24" s="110"/>
      <c r="B24" s="122"/>
      <c r="C24" s="26"/>
      <c r="D24" s="27"/>
      <c r="E24" s="5"/>
      <c r="F24" s="5"/>
      <c r="G24" s="27"/>
      <c r="H24" s="28"/>
      <c r="I24" s="141">
        <f t="shared" si="2"/>
        <v>0</v>
      </c>
      <c r="J24" s="142">
        <f t="shared" si="3"/>
        <v>0</v>
      </c>
      <c r="K24" s="117"/>
      <c r="L24" s="118"/>
      <c r="M24" s="87" t="s">
        <v>49</v>
      </c>
      <c r="N24" s="136">
        <f t="shared" si="4"/>
        <v>132.79445727482678</v>
      </c>
      <c r="O24" s="96" t="s">
        <v>3</v>
      </c>
      <c r="P24" s="98"/>
      <c r="Q24" s="135"/>
      <c r="R24" s="98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1"/>
      <c r="AQ24" s="3">
        <f>HLOOKUP($AT$6,$AR$17:$AU$26,8,0)</f>
        <v>132.79445727482678</v>
      </c>
      <c r="AR24" s="3">
        <f>AR23/1.732</f>
        <v>132.79445727482678</v>
      </c>
      <c r="AS24" s="2">
        <f>AS23</f>
        <v>230</v>
      </c>
      <c r="AT24" s="2">
        <f>AS24</f>
        <v>230</v>
      </c>
      <c r="AU24" s="3">
        <f>AR24</f>
        <v>132.79445727482678</v>
      </c>
    </row>
    <row r="25" spans="1:47" x14ac:dyDescent="0.15">
      <c r="A25" s="110"/>
      <c r="B25" s="122"/>
      <c r="C25" s="26"/>
      <c r="D25" s="27"/>
      <c r="E25" s="5"/>
      <c r="F25" s="5"/>
      <c r="G25" s="27"/>
      <c r="H25" s="28"/>
      <c r="I25" s="141">
        <f t="shared" si="2"/>
        <v>0</v>
      </c>
      <c r="J25" s="142">
        <f t="shared" si="3"/>
        <v>0</v>
      </c>
      <c r="K25" s="117"/>
      <c r="L25" s="118"/>
      <c r="M25" s="87" t="s">
        <v>51</v>
      </c>
      <c r="N25" s="137">
        <f t="shared" si="4"/>
        <v>7.5308765940355453</v>
      </c>
      <c r="O25" s="96" t="s">
        <v>4</v>
      </c>
      <c r="P25" s="98"/>
      <c r="Q25" s="135"/>
      <c r="R25" s="98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1"/>
      <c r="AQ25" s="43">
        <f>HLOOKUP($AT$6,$AR$17:$AU$26,9,0)</f>
        <v>7.5308765940355453</v>
      </c>
      <c r="AR25" s="3">
        <f>(S11*1000)/(1.732*N8)</f>
        <v>7.5308765940355453</v>
      </c>
      <c r="AS25" s="3">
        <f>AR25</f>
        <v>7.5308765940355453</v>
      </c>
      <c r="AT25" s="3">
        <f>AS25</f>
        <v>7.5308765940355453</v>
      </c>
      <c r="AU25" s="3">
        <f>AR25</f>
        <v>7.5308765940355453</v>
      </c>
    </row>
    <row r="26" spans="1:47" ht="14" thickBot="1" x14ac:dyDescent="0.2">
      <c r="A26" s="110"/>
      <c r="B26" s="122"/>
      <c r="C26" s="26"/>
      <c r="D26" s="27"/>
      <c r="E26" s="5"/>
      <c r="F26" s="5"/>
      <c r="G26" s="27"/>
      <c r="H26" s="28"/>
      <c r="I26" s="141">
        <f t="shared" si="2"/>
        <v>0</v>
      </c>
      <c r="J26" s="142">
        <f t="shared" si="3"/>
        <v>0</v>
      </c>
      <c r="K26" s="117"/>
      <c r="L26" s="118"/>
      <c r="M26" s="87" t="s">
        <v>50</v>
      </c>
      <c r="N26" s="137">
        <f t="shared" si="4"/>
        <v>7.5308765940355453</v>
      </c>
      <c r="O26" s="96" t="s">
        <v>4</v>
      </c>
      <c r="P26" s="98"/>
      <c r="Q26" s="135"/>
      <c r="R26" s="98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1"/>
      <c r="AQ26" s="43">
        <f>HLOOKUP($AT$6,$AR$17:$AU$26,10,0)</f>
        <v>7.5308765940355453</v>
      </c>
      <c r="AR26" s="3">
        <f>AR25</f>
        <v>7.5308765940355453</v>
      </c>
      <c r="AS26" s="3">
        <f>AS25/1.732</f>
        <v>4.3480811743854186</v>
      </c>
      <c r="AT26" s="3">
        <f>AS26</f>
        <v>4.3480811743854186</v>
      </c>
      <c r="AU26" s="3">
        <f>AR26</f>
        <v>7.5308765940355453</v>
      </c>
    </row>
    <row r="27" spans="1:47" ht="17" thickBot="1" x14ac:dyDescent="0.25">
      <c r="A27" s="110"/>
      <c r="B27" s="122"/>
      <c r="C27" s="26"/>
      <c r="D27" s="27"/>
      <c r="E27" s="5"/>
      <c r="F27" s="5"/>
      <c r="G27" s="27"/>
      <c r="H27" s="28"/>
      <c r="I27" s="141">
        <f t="shared" si="2"/>
        <v>0</v>
      </c>
      <c r="J27" s="142">
        <f t="shared" si="3"/>
        <v>0</v>
      </c>
      <c r="K27" s="117"/>
      <c r="L27" s="118"/>
      <c r="M27" s="153" t="s">
        <v>90</v>
      </c>
      <c r="N27" s="154"/>
      <c r="O27" s="154"/>
      <c r="P27" s="154"/>
      <c r="Q27" s="155"/>
      <c r="R27" s="96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"/>
    </row>
    <row r="28" spans="1:47" x14ac:dyDescent="0.15">
      <c r="A28" s="110"/>
      <c r="B28" s="122"/>
      <c r="C28" s="26"/>
      <c r="D28" s="27"/>
      <c r="E28" s="5"/>
      <c r="F28" s="5"/>
      <c r="G28" s="27"/>
      <c r="H28" s="28"/>
      <c r="I28" s="141">
        <f t="shared" si="2"/>
        <v>0</v>
      </c>
      <c r="J28" s="142">
        <f t="shared" si="3"/>
        <v>0</v>
      </c>
      <c r="K28" s="117"/>
      <c r="L28" s="118"/>
      <c r="M28" s="88" t="str">
        <f>IF(AO10=TRUE,"Size of Circuit Breaker on Primary Side:","")</f>
        <v>Size of Circuit Breaker on Primary Side:</v>
      </c>
      <c r="N28" s="134">
        <f>IF(N6=0,"",IF(M28="","",Sheet2!AZ11))</f>
        <v>6</v>
      </c>
      <c r="O28" s="98" t="str">
        <f>IF(N28="","","Amp")</f>
        <v>Amp</v>
      </c>
      <c r="P28" s="98"/>
      <c r="Q28" s="135"/>
      <c r="R28" s="98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11"/>
    </row>
    <row r="29" spans="1:47" x14ac:dyDescent="0.15">
      <c r="A29" s="110"/>
      <c r="B29" s="122"/>
      <c r="C29" s="26"/>
      <c r="D29" s="27"/>
      <c r="E29" s="5"/>
      <c r="F29" s="5"/>
      <c r="G29" s="27"/>
      <c r="H29" s="28"/>
      <c r="I29" s="141">
        <f t="shared" si="2"/>
        <v>0</v>
      </c>
      <c r="J29" s="142">
        <f t="shared" si="3"/>
        <v>0</v>
      </c>
      <c r="K29" s="117"/>
      <c r="L29" s="118"/>
      <c r="M29" s="88" t="str">
        <f>IF(AO11=TRUE,"Size of Fuse on Primary Side:","")</f>
        <v>Size of Fuse on Primary Side:</v>
      </c>
      <c r="N29" s="134">
        <f>IF(N6=0,"",IF(M29="","",Sheet2!BA11))</f>
        <v>6</v>
      </c>
      <c r="O29" s="98" t="str">
        <f>IF(N29="","","Amp")</f>
        <v>Amp</v>
      </c>
      <c r="P29" s="98"/>
      <c r="Q29" s="135"/>
      <c r="R29" s="98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11"/>
    </row>
    <row r="30" spans="1:47" x14ac:dyDescent="0.15">
      <c r="A30" s="110"/>
      <c r="B30" s="122"/>
      <c r="C30" s="26"/>
      <c r="D30" s="27"/>
      <c r="E30" s="5"/>
      <c r="F30" s="5"/>
      <c r="G30" s="27"/>
      <c r="H30" s="28"/>
      <c r="I30" s="141">
        <f t="shared" si="2"/>
        <v>0</v>
      </c>
      <c r="J30" s="142">
        <f t="shared" si="3"/>
        <v>0</v>
      </c>
      <c r="K30" s="117"/>
      <c r="L30" s="118"/>
      <c r="M30" s="88" t="str">
        <f>IF(AO10=TRUE,"Size of Circuit Breaker on Secondary Side:","")</f>
        <v>Size of Circuit Breaker on Secondary Side:</v>
      </c>
      <c r="N30" s="100" t="str">
        <f>IF(N6=0,"",IF(M30="","",Sheet2!BB11))</f>
        <v>N/A</v>
      </c>
      <c r="O30" s="98" t="str">
        <f>IF(N30="","","Amp")</f>
        <v>Amp</v>
      </c>
      <c r="P30" s="98"/>
      <c r="Q30" s="135"/>
      <c r="R30" s="98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11"/>
    </row>
    <row r="31" spans="1:47" ht="14" thickBot="1" x14ac:dyDescent="0.2">
      <c r="A31" s="110"/>
      <c r="B31" s="122"/>
      <c r="C31" s="26"/>
      <c r="D31" s="27"/>
      <c r="E31" s="5"/>
      <c r="F31" s="5"/>
      <c r="G31" s="27"/>
      <c r="H31" s="28"/>
      <c r="I31" s="141">
        <f t="shared" si="2"/>
        <v>0</v>
      </c>
      <c r="J31" s="142">
        <f t="shared" si="3"/>
        <v>0</v>
      </c>
      <c r="K31" s="117"/>
      <c r="L31" s="118"/>
      <c r="M31" s="88" t="str">
        <f>IF(AO11=TRUE,"Size of Fuse on Secondary Side:","")</f>
        <v>Size of Fuse on Secondary Side:</v>
      </c>
      <c r="N31" s="100" t="str">
        <f>IF(N6=0,"",IF(M31="","",Sheet2!BC11))</f>
        <v>N/A</v>
      </c>
      <c r="O31" s="98" t="str">
        <f>IF(N31="","","Amp")</f>
        <v>Amp</v>
      </c>
      <c r="P31" s="98"/>
      <c r="Q31" s="135"/>
      <c r="R31" s="98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11"/>
    </row>
    <row r="32" spans="1:47" ht="17" thickBot="1" x14ac:dyDescent="0.25">
      <c r="A32" s="110"/>
      <c r="B32" s="122"/>
      <c r="C32" s="26"/>
      <c r="D32" s="27"/>
      <c r="E32" s="5"/>
      <c r="F32" s="5"/>
      <c r="G32" s="27"/>
      <c r="H32" s="28"/>
      <c r="I32" s="141">
        <f t="shared" si="2"/>
        <v>0</v>
      </c>
      <c r="J32" s="142">
        <f t="shared" si="3"/>
        <v>0</v>
      </c>
      <c r="K32" s="117"/>
      <c r="L32" s="118"/>
      <c r="M32" s="153" t="s">
        <v>85</v>
      </c>
      <c r="N32" s="154"/>
      <c r="O32" s="154"/>
      <c r="P32" s="154"/>
      <c r="Q32" s="155"/>
      <c r="R32" s="96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"/>
    </row>
    <row r="33" spans="1:41" x14ac:dyDescent="0.15">
      <c r="A33" s="110"/>
      <c r="B33" s="122"/>
      <c r="C33" s="26"/>
      <c r="D33" s="27"/>
      <c r="E33" s="5"/>
      <c r="F33" s="5"/>
      <c r="G33" s="27"/>
      <c r="H33" s="28"/>
      <c r="I33" s="141">
        <f t="shared" si="2"/>
        <v>0</v>
      </c>
      <c r="J33" s="142">
        <f t="shared" si="3"/>
        <v>0</v>
      </c>
      <c r="K33" s="117"/>
      <c r="L33" s="118"/>
      <c r="M33" s="87" t="s">
        <v>56</v>
      </c>
      <c r="N33" s="127">
        <f>((1-(O12))/O12)*(S11*1000)</f>
        <v>48.780487804878092</v>
      </c>
      <c r="O33" s="96" t="s">
        <v>54</v>
      </c>
      <c r="P33" s="96"/>
      <c r="Q33" s="97"/>
      <c r="R33" s="96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"/>
    </row>
    <row r="34" spans="1:41" ht="14" thickBot="1" x14ac:dyDescent="0.2">
      <c r="A34" s="110"/>
      <c r="B34" s="122"/>
      <c r="C34" s="31"/>
      <c r="D34" s="32"/>
      <c r="E34" s="7"/>
      <c r="F34" s="7"/>
      <c r="G34" s="32"/>
      <c r="H34" s="33"/>
      <c r="I34" s="145">
        <f t="shared" si="2"/>
        <v>0</v>
      </c>
      <c r="J34" s="146">
        <f t="shared" si="3"/>
        <v>0</v>
      </c>
      <c r="K34" s="117"/>
      <c r="L34" s="118"/>
      <c r="M34" s="87" t="s">
        <v>57</v>
      </c>
      <c r="N34" s="127">
        <f>((1-(O13))/O13)*((S11*1000)/4)</f>
        <v>19.230769230769248</v>
      </c>
      <c r="O34" s="96" t="s">
        <v>54</v>
      </c>
      <c r="P34" s="96"/>
      <c r="Q34" s="97"/>
      <c r="R34" s="96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"/>
    </row>
    <row r="35" spans="1:41" x14ac:dyDescent="0.15">
      <c r="A35" s="110"/>
      <c r="B35" s="122"/>
      <c r="C35" s="96"/>
      <c r="D35" s="96"/>
      <c r="E35" s="96"/>
      <c r="F35" s="96"/>
      <c r="G35" s="96"/>
      <c r="H35" s="152" t="s">
        <v>35</v>
      </c>
      <c r="I35" s="152"/>
      <c r="J35" s="126">
        <f>SUM(J7:J34)</f>
        <v>3</v>
      </c>
      <c r="K35" s="117"/>
      <c r="L35" s="118"/>
      <c r="M35" s="87" t="s">
        <v>55</v>
      </c>
      <c r="N35" s="127">
        <f>(N33-N34)/(1-(1/16))</f>
        <v>31.519699812382768</v>
      </c>
      <c r="O35" s="96" t="s">
        <v>54</v>
      </c>
      <c r="P35" s="96"/>
      <c r="Q35" s="97"/>
      <c r="R35" s="96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"/>
    </row>
    <row r="36" spans="1:41" x14ac:dyDescent="0.15">
      <c r="A36" s="110"/>
      <c r="B36" s="122"/>
      <c r="C36" s="96"/>
      <c r="D36" s="96"/>
      <c r="E36" s="96"/>
      <c r="F36" s="96"/>
      <c r="G36" s="96"/>
      <c r="H36" s="152" t="s">
        <v>78</v>
      </c>
      <c r="I36" s="152"/>
      <c r="J36" s="34">
        <v>1</v>
      </c>
      <c r="K36" s="117"/>
      <c r="L36" s="118"/>
      <c r="M36" s="87" t="s">
        <v>58</v>
      </c>
      <c r="N36" s="127">
        <f>N33-N35</f>
        <v>17.260787992495324</v>
      </c>
      <c r="O36" s="96" t="s">
        <v>54</v>
      </c>
      <c r="P36" s="96"/>
      <c r="Q36" s="97"/>
      <c r="R36" s="96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"/>
    </row>
    <row r="37" spans="1:41" ht="14" thickBot="1" x14ac:dyDescent="0.2">
      <c r="A37" s="110"/>
      <c r="B37" s="125"/>
      <c r="C37" s="128"/>
      <c r="D37" s="128"/>
      <c r="E37" s="128"/>
      <c r="F37" s="128"/>
      <c r="G37" s="128"/>
      <c r="H37" s="150" t="s">
        <v>34</v>
      </c>
      <c r="I37" s="150"/>
      <c r="J37" s="129">
        <f>J35*J36</f>
        <v>3</v>
      </c>
      <c r="K37" s="121"/>
      <c r="L37" s="118"/>
      <c r="M37" s="130"/>
      <c r="N37" s="131"/>
      <c r="O37" s="132"/>
      <c r="P37" s="132"/>
      <c r="Q37" s="133"/>
      <c r="R37" s="96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"/>
    </row>
    <row r="38" spans="1:41" x14ac:dyDescent="0.15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96"/>
      <c r="M38" s="96"/>
      <c r="N38" s="96"/>
      <c r="O38" s="96"/>
      <c r="P38" s="96"/>
      <c r="Q38" s="96"/>
      <c r="R38" s="96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"/>
    </row>
    <row r="39" spans="1:41" x14ac:dyDescent="0.15">
      <c r="A39" s="110"/>
      <c r="B39" s="110"/>
      <c r="C39" s="96"/>
      <c r="D39" s="96"/>
      <c r="E39" s="111"/>
      <c r="F39" s="111"/>
      <c r="G39" s="96"/>
      <c r="H39" s="96"/>
      <c r="I39" s="96"/>
      <c r="J39" s="96"/>
      <c r="K39" s="96"/>
      <c r="L39" s="96"/>
      <c r="M39" s="96"/>
      <c r="N39" s="111"/>
      <c r="O39" s="96"/>
      <c r="P39" s="96"/>
      <c r="Q39" s="96"/>
      <c r="R39" s="96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"/>
    </row>
    <row r="40" spans="1:41" x14ac:dyDescent="0.15">
      <c r="A40" s="110"/>
      <c r="B40" s="110"/>
      <c r="C40" s="96"/>
      <c r="D40" s="96"/>
      <c r="E40" s="111"/>
      <c r="F40" s="111"/>
      <c r="G40" s="96"/>
      <c r="H40" s="96"/>
      <c r="I40" s="96"/>
      <c r="J40" s="96"/>
      <c r="K40" s="96"/>
      <c r="L40" s="96"/>
      <c r="M40" s="96"/>
      <c r="N40" s="111"/>
      <c r="O40" s="96"/>
      <c r="P40" s="96"/>
      <c r="Q40" s="96"/>
      <c r="R40" s="96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"/>
    </row>
    <row r="41" spans="1:41" x14ac:dyDescent="0.15">
      <c r="A41" s="110"/>
      <c r="B41" s="110"/>
      <c r="C41" s="96"/>
      <c r="D41" s="96"/>
      <c r="E41" s="111"/>
      <c r="F41" s="111"/>
      <c r="G41" s="96"/>
      <c r="H41" s="96"/>
      <c r="I41" s="96"/>
      <c r="J41" s="96"/>
      <c r="K41" s="96"/>
      <c r="L41" s="96"/>
      <c r="M41" s="96"/>
      <c r="N41" s="111"/>
      <c r="O41" s="96"/>
      <c r="P41" s="96"/>
      <c r="Q41" s="96"/>
      <c r="R41" s="96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"/>
    </row>
    <row r="42" spans="1:41" x14ac:dyDescent="0.15">
      <c r="A42" s="110"/>
      <c r="B42" s="110"/>
      <c r="C42" s="96"/>
      <c r="D42" s="96"/>
      <c r="E42" s="111"/>
      <c r="F42" s="111"/>
      <c r="G42" s="96"/>
      <c r="H42" s="96"/>
      <c r="I42" s="96"/>
      <c r="J42" s="96"/>
      <c r="K42" s="96"/>
      <c r="L42" s="96"/>
      <c r="M42" s="96"/>
      <c r="N42" s="111"/>
      <c r="O42" s="96"/>
      <c r="P42" s="96"/>
      <c r="Q42" s="96"/>
      <c r="R42" s="96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"/>
    </row>
    <row r="43" spans="1:41" x14ac:dyDescent="0.15">
      <c r="A43" s="110"/>
      <c r="B43" s="110"/>
      <c r="C43" s="96"/>
      <c r="D43" s="96"/>
      <c r="E43" s="111"/>
      <c r="F43" s="111"/>
      <c r="G43" s="96"/>
      <c r="H43" s="96"/>
      <c r="I43" s="96"/>
      <c r="J43" s="96"/>
      <c r="K43" s="96"/>
      <c r="L43" s="96"/>
      <c r="M43" s="96"/>
      <c r="N43" s="111"/>
      <c r="O43" s="96"/>
      <c r="P43" s="96"/>
      <c r="Q43" s="96"/>
      <c r="R43" s="96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"/>
    </row>
    <row r="44" spans="1:41" x14ac:dyDescent="0.15">
      <c r="A44" s="110"/>
      <c r="B44" s="110"/>
      <c r="C44" s="96"/>
      <c r="D44" s="96"/>
      <c r="E44" s="111"/>
      <c r="F44" s="111"/>
      <c r="G44" s="96"/>
      <c r="H44" s="96"/>
      <c r="I44" s="96"/>
      <c r="J44" s="96"/>
      <c r="K44" s="96"/>
      <c r="L44" s="96"/>
      <c r="M44" s="96"/>
      <c r="N44" s="111"/>
      <c r="O44" s="96"/>
      <c r="P44" s="96"/>
      <c r="Q44" s="96"/>
      <c r="R44" s="96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"/>
    </row>
    <row r="45" spans="1:41" x14ac:dyDescent="0.15">
      <c r="A45" s="110"/>
      <c r="B45" s="110"/>
      <c r="C45" s="96"/>
      <c r="D45" s="96"/>
      <c r="E45" s="111"/>
      <c r="F45" s="111"/>
      <c r="G45" s="96"/>
      <c r="H45" s="96"/>
      <c r="I45" s="96"/>
      <c r="J45" s="96"/>
      <c r="K45" s="96"/>
      <c r="L45" s="96"/>
      <c r="M45" s="96"/>
      <c r="N45" s="111"/>
      <c r="O45" s="96"/>
      <c r="P45" s="96"/>
      <c r="Q45" s="96"/>
      <c r="R45" s="96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"/>
    </row>
    <row r="46" spans="1:41" x14ac:dyDescent="0.15">
      <c r="A46" s="110"/>
      <c r="B46" s="110"/>
      <c r="C46" s="96"/>
      <c r="D46" s="96"/>
      <c r="E46" s="111"/>
      <c r="F46" s="111"/>
      <c r="G46" s="96"/>
      <c r="H46" s="96"/>
      <c r="I46" s="96"/>
      <c r="J46" s="96"/>
      <c r="K46" s="96"/>
      <c r="L46" s="96"/>
      <c r="M46" s="96"/>
      <c r="N46" s="111"/>
      <c r="O46" s="96"/>
      <c r="P46" s="96"/>
      <c r="Q46" s="96"/>
      <c r="R46" s="96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"/>
    </row>
    <row r="47" spans="1:41" x14ac:dyDescent="0.15">
      <c r="A47" s="110"/>
      <c r="B47" s="110"/>
      <c r="C47" s="96"/>
      <c r="D47" s="96"/>
      <c r="E47" s="111"/>
      <c r="F47" s="111"/>
      <c r="G47" s="96"/>
      <c r="H47" s="96"/>
      <c r="I47" s="96"/>
      <c r="J47" s="96"/>
      <c r="K47" s="96"/>
      <c r="L47" s="96"/>
      <c r="M47" s="96"/>
      <c r="N47" s="111"/>
      <c r="O47" s="96"/>
      <c r="P47" s="96"/>
      <c r="Q47" s="96"/>
      <c r="R47" s="96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"/>
    </row>
    <row r="48" spans="1:41" x14ac:dyDescent="0.15">
      <c r="A48" s="110"/>
      <c r="B48" s="110"/>
      <c r="C48" s="96"/>
      <c r="D48" s="96"/>
      <c r="E48" s="111"/>
      <c r="F48" s="111"/>
      <c r="G48" s="96"/>
      <c r="H48" s="96"/>
      <c r="I48" s="96"/>
      <c r="J48" s="96"/>
      <c r="K48" s="96"/>
      <c r="L48" s="96"/>
      <c r="M48" s="96"/>
      <c r="N48" s="111"/>
      <c r="O48" s="96"/>
      <c r="P48" s="96"/>
      <c r="Q48" s="96"/>
      <c r="R48" s="96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"/>
    </row>
    <row r="49" spans="1:41" x14ac:dyDescent="0.15">
      <c r="A49" s="11"/>
      <c r="B49" s="11"/>
      <c r="C49" s="15"/>
      <c r="D49" s="15"/>
      <c r="E49" s="16"/>
      <c r="F49" s="16"/>
      <c r="G49" s="15"/>
      <c r="H49" s="15"/>
      <c r="I49" s="15"/>
      <c r="J49" s="15"/>
      <c r="K49" s="15"/>
      <c r="L49" s="15"/>
      <c r="M49" s="15"/>
      <c r="N49" s="16"/>
      <c r="O49" s="15"/>
      <c r="P49" s="15"/>
      <c r="Q49" s="15"/>
      <c r="R49" s="96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"/>
    </row>
    <row r="50" spans="1:41" x14ac:dyDescent="0.15">
      <c r="A50" s="11"/>
      <c r="B50" s="11"/>
      <c r="C50" s="15"/>
      <c r="D50" s="15"/>
      <c r="E50" s="16"/>
      <c r="F50" s="16"/>
      <c r="G50" s="15"/>
      <c r="H50" s="15"/>
      <c r="I50" s="15"/>
      <c r="J50" s="15"/>
      <c r="K50" s="15"/>
      <c r="L50" s="15"/>
      <c r="M50" s="15"/>
      <c r="N50" s="16"/>
      <c r="O50" s="15"/>
      <c r="P50" s="15"/>
      <c r="Q50" s="15"/>
      <c r="R50" s="96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"/>
    </row>
    <row r="51" spans="1:41" x14ac:dyDescent="0.15">
      <c r="A51" s="11"/>
      <c r="B51" s="11"/>
      <c r="C51" s="15"/>
      <c r="D51" s="15"/>
      <c r="E51" s="16"/>
      <c r="F51" s="16"/>
      <c r="G51" s="15"/>
      <c r="H51" s="15"/>
      <c r="I51" s="15"/>
      <c r="J51" s="15"/>
      <c r="K51" s="15"/>
      <c r="L51" s="15"/>
      <c r="M51" s="15"/>
      <c r="N51" s="16"/>
      <c r="O51" s="15"/>
      <c r="P51" s="15"/>
      <c r="Q51" s="15"/>
      <c r="R51" s="96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"/>
    </row>
    <row r="52" spans="1:41" x14ac:dyDescent="0.15">
      <c r="A52" s="11"/>
      <c r="B52" s="11"/>
      <c r="C52" s="15"/>
      <c r="D52" s="15"/>
      <c r="E52" s="16"/>
      <c r="F52" s="16"/>
      <c r="G52" s="15"/>
      <c r="H52" s="15"/>
      <c r="I52" s="15"/>
      <c r="J52" s="15"/>
      <c r="K52" s="15"/>
      <c r="L52" s="15"/>
      <c r="M52" s="15"/>
      <c r="N52" s="16"/>
      <c r="O52" s="15"/>
      <c r="P52" s="15"/>
      <c r="Q52" s="15"/>
      <c r="R52" s="96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"/>
    </row>
    <row r="53" spans="1:41" x14ac:dyDescent="0.15">
      <c r="A53" s="11"/>
      <c r="B53" s="11"/>
      <c r="C53" s="15"/>
      <c r="D53" s="15"/>
      <c r="E53" s="16"/>
      <c r="F53" s="16"/>
      <c r="G53" s="15"/>
      <c r="H53" s="15"/>
      <c r="I53" s="15"/>
      <c r="J53" s="15"/>
      <c r="K53" s="15"/>
      <c r="L53" s="15"/>
      <c r="M53" s="15"/>
      <c r="N53" s="16"/>
      <c r="O53" s="15"/>
      <c r="P53" s="15"/>
      <c r="Q53" s="15"/>
      <c r="R53" s="96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"/>
    </row>
    <row r="54" spans="1:41" x14ac:dyDescent="0.15">
      <c r="A54" s="11"/>
      <c r="B54" s="11"/>
      <c r="C54" s="15"/>
      <c r="D54" s="15"/>
      <c r="E54" s="16"/>
      <c r="F54" s="16"/>
      <c r="G54" s="15"/>
      <c r="H54" s="15"/>
      <c r="I54" s="15"/>
      <c r="J54" s="15"/>
      <c r="K54" s="15"/>
      <c r="L54" s="15"/>
      <c r="M54" s="15"/>
      <c r="N54" s="16"/>
      <c r="O54" s="15"/>
      <c r="P54" s="15"/>
      <c r="Q54" s="15"/>
      <c r="R54" s="96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"/>
    </row>
    <row r="55" spans="1:41" x14ac:dyDescent="0.15">
      <c r="A55" s="11"/>
      <c r="B55" s="11"/>
      <c r="C55" s="15"/>
      <c r="D55" s="15"/>
      <c r="E55" s="16"/>
      <c r="F55" s="16"/>
      <c r="G55" s="15"/>
      <c r="H55" s="15"/>
      <c r="I55" s="15"/>
      <c r="J55" s="15"/>
      <c r="K55" s="15"/>
      <c r="L55" s="15"/>
      <c r="M55" s="15"/>
      <c r="N55" s="16"/>
      <c r="O55" s="15"/>
      <c r="P55" s="15"/>
      <c r="Q55" s="15"/>
      <c r="R55" s="96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"/>
    </row>
    <row r="56" spans="1:41" x14ac:dyDescent="0.15">
      <c r="A56" s="11"/>
      <c r="B56" s="11"/>
      <c r="C56" s="15"/>
      <c r="D56" s="15"/>
      <c r="E56" s="16"/>
      <c r="F56" s="16"/>
      <c r="G56" s="15"/>
      <c r="H56" s="15"/>
      <c r="I56" s="15"/>
      <c r="J56" s="15"/>
      <c r="K56" s="15"/>
      <c r="L56" s="15"/>
      <c r="M56" s="15"/>
      <c r="N56" s="16"/>
      <c r="O56" s="15"/>
      <c r="P56" s="15"/>
      <c r="Q56" s="15"/>
      <c r="R56" s="96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"/>
    </row>
    <row r="57" spans="1:41" x14ac:dyDescent="0.15">
      <c r="A57" s="11"/>
      <c r="B57" s="11"/>
      <c r="C57" s="15"/>
      <c r="D57" s="15"/>
      <c r="E57" s="16"/>
      <c r="F57" s="16"/>
      <c r="G57" s="15"/>
      <c r="H57" s="15"/>
      <c r="I57" s="15"/>
      <c r="J57" s="15"/>
      <c r="K57" s="15"/>
      <c r="L57" s="15"/>
      <c r="M57" s="15"/>
      <c r="N57" s="16"/>
      <c r="O57" s="15"/>
      <c r="P57" s="15"/>
      <c r="Q57" s="15"/>
      <c r="R57" s="96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"/>
    </row>
    <row r="58" spans="1:41" x14ac:dyDescent="0.15">
      <c r="A58" s="11"/>
      <c r="B58" s="11"/>
      <c r="C58" s="15"/>
      <c r="D58" s="15"/>
      <c r="E58" s="16"/>
      <c r="F58" s="16"/>
      <c r="G58" s="15"/>
      <c r="H58" s="15"/>
      <c r="I58" s="15"/>
      <c r="J58" s="15"/>
      <c r="K58" s="15"/>
      <c r="L58" s="15"/>
      <c r="M58" s="15"/>
      <c r="N58" s="16"/>
      <c r="O58" s="15"/>
      <c r="P58" s="15"/>
      <c r="Q58" s="15"/>
      <c r="R58" s="96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"/>
    </row>
    <row r="59" spans="1:41" x14ac:dyDescent="0.15">
      <c r="A59" s="11"/>
      <c r="B59" s="11"/>
      <c r="C59" s="15"/>
      <c r="D59" s="15"/>
      <c r="E59" s="16"/>
      <c r="F59" s="16"/>
      <c r="G59" s="15"/>
      <c r="H59" s="15"/>
      <c r="I59" s="15"/>
      <c r="J59" s="15"/>
      <c r="K59" s="15"/>
      <c r="L59" s="15"/>
      <c r="M59" s="15"/>
      <c r="N59" s="16"/>
      <c r="O59" s="15"/>
      <c r="P59" s="15"/>
      <c r="Q59" s="15"/>
      <c r="R59" s="96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"/>
    </row>
    <row r="60" spans="1:41" x14ac:dyDescent="0.15">
      <c r="A60" s="11"/>
      <c r="B60" s="11"/>
      <c r="C60" s="15"/>
      <c r="D60" s="15"/>
      <c r="E60" s="16"/>
      <c r="F60" s="16"/>
      <c r="G60" s="15"/>
      <c r="H60" s="15"/>
      <c r="I60" s="15"/>
      <c r="J60" s="15"/>
      <c r="K60" s="15"/>
      <c r="L60" s="15"/>
      <c r="M60" s="15"/>
      <c r="N60" s="16"/>
      <c r="O60" s="15"/>
      <c r="P60" s="15"/>
      <c r="Q60" s="15"/>
      <c r="R60" s="96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"/>
    </row>
    <row r="61" spans="1:41" x14ac:dyDescent="0.15">
      <c r="A61" s="11"/>
      <c r="B61" s="11"/>
      <c r="C61" s="15"/>
      <c r="D61" s="15"/>
      <c r="E61" s="16"/>
      <c r="F61" s="16"/>
      <c r="G61" s="15"/>
      <c r="H61" s="15"/>
      <c r="I61" s="15"/>
      <c r="J61" s="15"/>
      <c r="K61" s="15"/>
      <c r="L61" s="15"/>
      <c r="M61" s="15"/>
      <c r="N61" s="16"/>
      <c r="O61" s="15"/>
      <c r="P61" s="15"/>
      <c r="Q61" s="15"/>
      <c r="R61" s="96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"/>
    </row>
    <row r="62" spans="1:41" x14ac:dyDescent="0.15">
      <c r="A62" s="11"/>
      <c r="B62" s="11"/>
      <c r="C62" s="15"/>
      <c r="D62" s="15"/>
      <c r="E62" s="16"/>
      <c r="F62" s="16"/>
      <c r="G62" s="15"/>
      <c r="H62" s="15"/>
      <c r="I62" s="15"/>
      <c r="J62" s="15"/>
      <c r="K62" s="15"/>
      <c r="L62" s="15"/>
      <c r="M62" s="15"/>
      <c r="N62" s="16"/>
      <c r="O62" s="15"/>
      <c r="P62" s="15"/>
      <c r="Q62" s="15"/>
      <c r="R62" s="96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"/>
    </row>
    <row r="63" spans="1:41" x14ac:dyDescent="0.15">
      <c r="A63" s="11"/>
      <c r="B63" s="11"/>
      <c r="C63" s="15"/>
      <c r="D63" s="15"/>
      <c r="E63" s="16"/>
      <c r="F63" s="16"/>
      <c r="G63" s="15"/>
      <c r="H63" s="15"/>
      <c r="I63" s="15"/>
      <c r="J63" s="15"/>
      <c r="K63" s="15"/>
      <c r="L63" s="15"/>
      <c r="M63" s="15"/>
      <c r="N63" s="16"/>
      <c r="O63" s="15"/>
      <c r="P63" s="15"/>
      <c r="Q63" s="15"/>
      <c r="R63" s="96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"/>
    </row>
    <row r="64" spans="1:41" x14ac:dyDescent="0.15">
      <c r="A64" s="11"/>
      <c r="B64" s="11"/>
      <c r="C64" s="15"/>
      <c r="D64" s="15"/>
      <c r="E64" s="16"/>
      <c r="F64" s="16"/>
      <c r="G64" s="15"/>
      <c r="H64" s="15"/>
      <c r="I64" s="15"/>
      <c r="J64" s="15"/>
      <c r="K64" s="15"/>
      <c r="L64" s="15"/>
      <c r="M64" s="15"/>
      <c r="N64" s="16"/>
      <c r="O64" s="15"/>
      <c r="P64" s="15"/>
      <c r="Q64" s="15"/>
      <c r="R64" s="96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"/>
    </row>
    <row r="65" spans="1:41" x14ac:dyDescent="0.15">
      <c r="A65" s="11"/>
      <c r="B65" s="11"/>
      <c r="C65" s="15"/>
      <c r="D65" s="15"/>
      <c r="E65" s="16"/>
      <c r="F65" s="16"/>
      <c r="G65" s="15"/>
      <c r="H65" s="15"/>
      <c r="I65" s="15"/>
      <c r="J65" s="15"/>
      <c r="K65" s="15"/>
      <c r="L65" s="15"/>
      <c r="M65" s="15"/>
      <c r="N65" s="16"/>
      <c r="O65" s="15"/>
      <c r="P65" s="15"/>
      <c r="Q65" s="15"/>
      <c r="R65" s="96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"/>
    </row>
    <row r="66" spans="1:41" x14ac:dyDescent="0.15">
      <c r="A66" s="11"/>
      <c r="B66" s="11"/>
      <c r="C66" s="15"/>
      <c r="D66" s="15"/>
      <c r="E66" s="16"/>
      <c r="F66" s="16"/>
      <c r="G66" s="15"/>
      <c r="H66" s="15"/>
      <c r="I66" s="15"/>
      <c r="J66" s="15"/>
      <c r="K66" s="15"/>
      <c r="L66" s="15"/>
      <c r="M66" s="15"/>
      <c r="N66" s="16"/>
      <c r="O66" s="15"/>
      <c r="P66" s="15"/>
      <c r="Q66" s="15"/>
      <c r="R66" s="96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"/>
    </row>
    <row r="67" spans="1:41" x14ac:dyDescent="0.15">
      <c r="A67" s="11"/>
      <c r="B67" s="11"/>
      <c r="C67" s="15"/>
      <c r="D67" s="15"/>
      <c r="E67" s="16"/>
      <c r="F67" s="16"/>
      <c r="G67" s="15"/>
      <c r="H67" s="15"/>
      <c r="I67" s="15"/>
      <c r="J67" s="15"/>
      <c r="K67" s="15"/>
      <c r="L67" s="15"/>
      <c r="M67" s="15"/>
      <c r="N67" s="16"/>
      <c r="O67" s="15"/>
      <c r="P67" s="15"/>
      <c r="Q67" s="15"/>
      <c r="R67" s="15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</row>
  </sheetData>
  <sheetProtection password="CE28" sheet="1" objects="1" scenarios="1" formatCells="0" formatColumns="0" formatRows="0"/>
  <mergeCells count="12">
    <mergeCell ref="C2:J2"/>
    <mergeCell ref="H37:I37"/>
    <mergeCell ref="N15:O15"/>
    <mergeCell ref="H35:I35"/>
    <mergeCell ref="H36:I36"/>
    <mergeCell ref="M27:Q27"/>
    <mergeCell ref="M32:Q32"/>
    <mergeCell ref="M18:Q18"/>
    <mergeCell ref="M17:Q17"/>
    <mergeCell ref="M5:Q5"/>
    <mergeCell ref="C5:J5"/>
    <mergeCell ref="M2:M3"/>
  </mergeCells>
  <conditionalFormatting sqref="N15">
    <cfRule type="expression" dxfId="1" priority="3">
      <formula>$AO$7=1</formula>
    </cfRule>
    <cfRule type="expression" dxfId="0" priority="4">
      <formula>$AO$7=0</formula>
    </cfRule>
  </conditionalFormatting>
  <dataValidations count="2">
    <dataValidation type="list" allowBlank="1" showInputMessage="1" showErrorMessage="1" sqref="N15:O15" xr:uid="{00000000-0002-0000-0000-000000000000}">
      <formula1>$AU$6:$AU$8</formula1>
    </dataValidation>
    <dataValidation type="list" allowBlank="1" showInputMessage="1" showErrorMessage="1" sqref="N10" xr:uid="{00000000-0002-0000-0000-000001000000}">
      <formula1>$AS$6:$AS$9</formula1>
    </dataValidation>
  </dataValidations>
  <hyperlinks>
    <hyperlink ref="M2:M3" r:id="rId1" display="Jignesh.Parmar ,www.electricalnotes.wordpress.com,                                                                              jiguparmar@yahoo.com" xr:uid="{00000000-0004-0000-0000-000000000000}"/>
  </hyperlink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5" name="Option Button 1">
              <controlPr defaultSize="0" autoFill="0" autoLine="0" autoPict="0">
                <anchor moveWithCells="1">
                  <from>
                    <xdr:col>13</xdr:col>
                    <xdr:colOff>12700</xdr:colOff>
                    <xdr:row>13</xdr:row>
                    <xdr:rowOff>0</xdr:rowOff>
                  </from>
                  <to>
                    <xdr:col>14</xdr:col>
                    <xdr:colOff>431800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6" name="Option Button 2">
              <controlPr defaultSize="0" autoFill="0" autoLine="0" autoPict="0">
                <anchor moveWithCells="1">
                  <from>
                    <xdr:col>14</xdr:col>
                    <xdr:colOff>393700</xdr:colOff>
                    <xdr:row>12</xdr:row>
                    <xdr:rowOff>203200</xdr:rowOff>
                  </from>
                  <to>
                    <xdr:col>16</xdr:col>
                    <xdr:colOff>165100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Check Box 9">
              <controlPr defaultSize="0" autoFill="0" autoLine="0" autoPict="0">
                <anchor moveWithCells="1">
                  <from>
                    <xdr:col>12</xdr:col>
                    <xdr:colOff>3822700</xdr:colOff>
                    <xdr:row>15</xdr:row>
                    <xdr:rowOff>50800</xdr:rowOff>
                  </from>
                  <to>
                    <xdr:col>14</xdr:col>
                    <xdr:colOff>508000</xdr:colOff>
                    <xdr:row>15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" name="Check Box 10">
              <controlPr defaultSize="0" autoFill="0" autoLine="0" autoPict="0">
                <anchor moveWithCells="1">
                  <from>
                    <xdr:col>14</xdr:col>
                    <xdr:colOff>457200</xdr:colOff>
                    <xdr:row>15</xdr:row>
                    <xdr:rowOff>50800</xdr:rowOff>
                  </from>
                  <to>
                    <xdr:col>16</xdr:col>
                    <xdr:colOff>266700</xdr:colOff>
                    <xdr:row>15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22"/>
  <sheetViews>
    <sheetView showGridLines="0" zoomScale="90" zoomScaleNormal="90" workbookViewId="0">
      <selection activeCell="L14" sqref="L14"/>
    </sheetView>
  </sheetViews>
  <sheetFormatPr baseColWidth="10" defaultColWidth="9.1640625" defaultRowHeight="13" x14ac:dyDescent="0.15"/>
  <cols>
    <col min="1" max="1" width="11.6640625" style="1" customWidth="1"/>
    <col min="2" max="2" width="4.1640625" style="1" customWidth="1"/>
    <col min="3" max="3" width="24.1640625" style="1" customWidth="1"/>
    <col min="4" max="4" width="4.5" style="1" customWidth="1"/>
    <col min="5" max="5" width="6.83203125" style="1" customWidth="1"/>
    <col min="6" max="6" width="3.83203125" style="1" customWidth="1"/>
    <col min="7" max="7" width="28.6640625" style="1" customWidth="1"/>
    <col min="8" max="8" width="4.33203125" style="1" customWidth="1"/>
    <col min="9" max="36" width="9.1640625" style="1"/>
    <col min="37" max="37" width="17.33203125" style="45" customWidth="1"/>
    <col min="38" max="38" width="21.5" style="45" customWidth="1"/>
    <col min="39" max="39" width="17.33203125" style="46" customWidth="1"/>
    <col min="40" max="40" width="21.5" style="45" customWidth="1"/>
    <col min="41" max="41" width="2.5" style="46" customWidth="1"/>
    <col min="42" max="42" width="9.5" style="45" customWidth="1"/>
    <col min="43" max="43" width="21.83203125" style="45" customWidth="1"/>
    <col min="44" max="45" width="9.1640625" style="46"/>
    <col min="46" max="46" width="16" style="46" customWidth="1"/>
    <col min="47" max="47" width="14.83203125" style="46" customWidth="1"/>
    <col min="48" max="55" width="9.1640625" style="46"/>
    <col min="56" max="16384" width="9.1640625" style="1"/>
  </cols>
  <sheetData>
    <row r="1" spans="1:55" ht="14" thickBot="1" x14ac:dyDescent="0.2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55" ht="19.5" customHeight="1" thickBot="1" x14ac:dyDescent="0.2">
      <c r="A2" s="11"/>
      <c r="B2" s="11"/>
      <c r="C2" s="179" t="s">
        <v>81</v>
      </c>
      <c r="D2" s="180"/>
      <c r="E2" s="180"/>
      <c r="F2" s="180"/>
      <c r="G2" s="18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Q2" s="45">
        <f>IFERROR(AP4,0)</f>
        <v>2</v>
      </c>
    </row>
    <row r="3" spans="1:55" ht="14" thickBot="1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P3" s="45">
        <f>'TC-C.B-Fuse'!N6</f>
        <v>3</v>
      </c>
      <c r="AQ3" s="47">
        <f>IF(AQ2=0,AR4,AQ4)</f>
        <v>3</v>
      </c>
    </row>
    <row r="4" spans="1:55" ht="14" thickBot="1" x14ac:dyDescent="0.2">
      <c r="A4" s="11"/>
      <c r="B4" s="17"/>
      <c r="C4" s="18"/>
      <c r="D4" s="19"/>
      <c r="E4" s="11"/>
      <c r="F4" s="17"/>
      <c r="G4" s="18"/>
      <c r="H4" s="19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91" t="s">
        <v>25</v>
      </c>
      <c r="AL4" s="191"/>
      <c r="AM4" s="191" t="s">
        <v>12</v>
      </c>
      <c r="AN4" s="191"/>
      <c r="AP4" s="45">
        <f>MATCH(AP3,Sheet2!AP6:AP54,0)</f>
        <v>2</v>
      </c>
      <c r="AQ4" s="45">
        <f>VLOOKUP('TC-C.B-Fuse'!N6,Sheet2!AP6:AQ54,2,TRUE)</f>
        <v>3</v>
      </c>
      <c r="AR4" s="45">
        <f>VLOOKUP('TC-C.B-Fuse'!N6,Sheet2!AP6:AR54,3,TRUE)</f>
        <v>6</v>
      </c>
    </row>
    <row r="5" spans="1:55" s="38" customFormat="1" ht="25.5" customHeight="1" thickBot="1" x14ac:dyDescent="0.25">
      <c r="A5" s="41"/>
      <c r="B5" s="36"/>
      <c r="C5" s="44" t="s">
        <v>82</v>
      </c>
      <c r="D5" s="37"/>
      <c r="E5" s="41"/>
      <c r="F5" s="36"/>
      <c r="G5" s="44" t="s">
        <v>80</v>
      </c>
      <c r="H5" s="37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167" t="s">
        <v>6</v>
      </c>
      <c r="AL5" s="167"/>
      <c r="AM5" s="167" t="s">
        <v>6</v>
      </c>
      <c r="AN5" s="167"/>
      <c r="AO5" s="48"/>
      <c r="AP5" s="167" t="s">
        <v>2</v>
      </c>
      <c r="AQ5" s="167"/>
      <c r="AR5" s="167"/>
      <c r="AS5" s="48"/>
      <c r="AT5" s="49">
        <f>'TC-C.B-Fuse'!AO9</f>
        <v>1</v>
      </c>
      <c r="AU5" s="168" t="s">
        <v>14</v>
      </c>
      <c r="AV5" s="168"/>
      <c r="AW5" s="169" t="s">
        <v>23</v>
      </c>
      <c r="AX5" s="170"/>
      <c r="AY5" s="48"/>
      <c r="AZ5" s="10">
        <f>'TC-C.B-Fuse'!AO7</f>
        <v>0</v>
      </c>
      <c r="BA5" s="48"/>
      <c r="BB5" s="48"/>
      <c r="BC5" s="48"/>
    </row>
    <row r="6" spans="1:55" x14ac:dyDescent="0.15">
      <c r="A6" s="11"/>
      <c r="B6" s="20"/>
      <c r="C6" s="25">
        <v>1</v>
      </c>
      <c r="D6" s="21"/>
      <c r="E6" s="11"/>
      <c r="F6" s="20"/>
      <c r="G6" s="25">
        <v>1</v>
      </c>
      <c r="H6" s="2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41"/>
      <c r="AF6" s="11"/>
      <c r="AG6" s="11"/>
      <c r="AH6" s="11"/>
      <c r="AI6" s="11"/>
      <c r="AJ6" s="11"/>
      <c r="AK6" s="50">
        <f>IF(G6="","",G6)</f>
        <v>1</v>
      </c>
      <c r="AL6" s="50">
        <f>IF(AK6="","",AK6)</f>
        <v>1</v>
      </c>
      <c r="AM6" s="50">
        <f>IF(G6="","",G6)</f>
        <v>1</v>
      </c>
      <c r="AN6" s="50">
        <f>IF(AM6="","",AM6)</f>
        <v>1</v>
      </c>
      <c r="AP6" s="50">
        <f>IF(C6="","",C6)</f>
        <v>1</v>
      </c>
      <c r="AQ6" s="50">
        <f>IF(AP6="","",AP6)</f>
        <v>1</v>
      </c>
      <c r="AR6" s="50">
        <f>IF(AP6="","",IF(AP7="",AP6,AP7))</f>
        <v>3</v>
      </c>
      <c r="AT6" s="50"/>
      <c r="AU6" s="50" t="s">
        <v>24</v>
      </c>
      <c r="AV6" s="50" t="s">
        <v>15</v>
      </c>
      <c r="AW6" s="50" t="s">
        <v>24</v>
      </c>
      <c r="AX6" s="50" t="s">
        <v>15</v>
      </c>
    </row>
    <row r="7" spans="1:55" x14ac:dyDescent="0.15">
      <c r="A7" s="11"/>
      <c r="B7" s="20"/>
      <c r="C7" s="25">
        <v>3</v>
      </c>
      <c r="D7" s="21"/>
      <c r="E7" s="11"/>
      <c r="F7" s="20"/>
      <c r="G7" s="25">
        <v>3</v>
      </c>
      <c r="H7" s="2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41"/>
      <c r="AF7" s="11"/>
      <c r="AG7" s="11"/>
      <c r="AH7" s="11"/>
      <c r="AI7" s="11"/>
      <c r="AJ7" s="11"/>
      <c r="AK7" s="50">
        <f t="shared" ref="AK7:AK60" si="0">IF(G7="","",G7)</f>
        <v>3</v>
      </c>
      <c r="AL7" s="50">
        <f>IF(AK7="","",IF(AK8="",AK7,AK8))</f>
        <v>6</v>
      </c>
      <c r="AM7" s="50">
        <f t="shared" ref="AM7:AM60" si="1">IF(G7="","",G7)</f>
        <v>3</v>
      </c>
      <c r="AN7" s="50">
        <f t="shared" ref="AN7:AN60" si="2">IF(AM7="","",AM7)</f>
        <v>3</v>
      </c>
      <c r="AP7" s="50">
        <f t="shared" ref="AP7:AP32" si="3">IF(C7="","",C7)</f>
        <v>3</v>
      </c>
      <c r="AQ7" s="50">
        <f t="shared" ref="AQ7:AQ54" si="4">IF(AP7="","",AP7)</f>
        <v>3</v>
      </c>
      <c r="AR7" s="49">
        <f>IF(AP7="","",IF(AP8="",AP7,AP8))</f>
        <v>6</v>
      </c>
      <c r="AT7" s="50">
        <v>1</v>
      </c>
      <c r="AU7" s="51">
        <f>AX33</f>
        <v>6</v>
      </c>
      <c r="AV7" s="51">
        <f>AZ33</f>
        <v>3</v>
      </c>
      <c r="AW7" s="51">
        <f>AX34</f>
        <v>2.5</v>
      </c>
      <c r="AX7" s="51">
        <f>AZ34</f>
        <v>2.5</v>
      </c>
      <c r="AY7" s="52"/>
      <c r="AZ7" s="52"/>
    </row>
    <row r="8" spans="1:55" x14ac:dyDescent="0.15">
      <c r="A8" s="11"/>
      <c r="B8" s="20"/>
      <c r="C8" s="25">
        <v>6</v>
      </c>
      <c r="D8" s="21"/>
      <c r="E8" s="11"/>
      <c r="F8" s="20"/>
      <c r="G8" s="25">
        <v>6</v>
      </c>
      <c r="H8" s="2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41"/>
      <c r="AF8" s="11"/>
      <c r="AG8" s="11"/>
      <c r="AH8" s="11"/>
      <c r="AI8" s="11"/>
      <c r="AJ8" s="11"/>
      <c r="AK8" s="50">
        <f t="shared" si="0"/>
        <v>6</v>
      </c>
      <c r="AL8" s="50">
        <f t="shared" ref="AL8:AL59" si="5">IF(AK8="","",IF(AK9="",AK8,AK9))</f>
        <v>10</v>
      </c>
      <c r="AM8" s="50">
        <f t="shared" si="1"/>
        <v>6</v>
      </c>
      <c r="AN8" s="50">
        <f t="shared" si="2"/>
        <v>6</v>
      </c>
      <c r="AP8" s="50">
        <f t="shared" si="3"/>
        <v>6</v>
      </c>
      <c r="AQ8" s="50">
        <f t="shared" si="4"/>
        <v>6</v>
      </c>
      <c r="AR8" s="49">
        <f t="shared" ref="AR8:AR54" si="6">IF(AP8="","",IF(AP9="",AP8,AP9))</f>
        <v>9</v>
      </c>
      <c r="AT8" s="50">
        <v>2</v>
      </c>
      <c r="AU8" s="51">
        <f>AX39</f>
        <v>6</v>
      </c>
      <c r="AV8" s="51">
        <f>AZ39</f>
        <v>3</v>
      </c>
      <c r="AW8" s="51">
        <f>AX40</f>
        <v>1.25</v>
      </c>
      <c r="AX8" s="51">
        <f>AZ40</f>
        <v>1.25</v>
      </c>
    </row>
    <row r="9" spans="1:55" x14ac:dyDescent="0.15">
      <c r="A9" s="11"/>
      <c r="B9" s="20"/>
      <c r="C9" s="25">
        <v>9</v>
      </c>
      <c r="D9" s="21"/>
      <c r="E9" s="11"/>
      <c r="F9" s="20"/>
      <c r="G9" s="25">
        <v>10</v>
      </c>
      <c r="H9" s="2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41"/>
      <c r="AF9" s="11"/>
      <c r="AG9" s="11"/>
      <c r="AH9" s="11"/>
      <c r="AI9" s="11"/>
      <c r="AJ9" s="11"/>
      <c r="AK9" s="50">
        <f t="shared" si="0"/>
        <v>10</v>
      </c>
      <c r="AL9" s="50">
        <f t="shared" si="5"/>
        <v>15</v>
      </c>
      <c r="AM9" s="50">
        <f t="shared" si="1"/>
        <v>10</v>
      </c>
      <c r="AN9" s="50">
        <f t="shared" si="2"/>
        <v>10</v>
      </c>
      <c r="AP9" s="50">
        <f t="shared" si="3"/>
        <v>9</v>
      </c>
      <c r="AQ9" s="50">
        <f t="shared" si="4"/>
        <v>9</v>
      </c>
      <c r="AR9" s="49">
        <f t="shared" si="6"/>
        <v>15</v>
      </c>
      <c r="AT9" s="53"/>
      <c r="AU9" s="54">
        <f>IF('TC-C.B-Fuse'!AO9=1,Sheet2!AU7,Sheet2!AU8)</f>
        <v>6</v>
      </c>
      <c r="AV9" s="54">
        <f>IF('TC-C.B-Fuse'!AO9=1,Sheet2!AV7,AV8)</f>
        <v>3</v>
      </c>
      <c r="AW9" s="54">
        <f>IF('TC-C.B-Fuse'!AO9=1,AW7,AW8)</f>
        <v>2.5</v>
      </c>
      <c r="AX9" s="54">
        <f>IF('TC-C.B-Fuse'!AO9=1,AX7,AX8)</f>
        <v>2.5</v>
      </c>
      <c r="AZ9" s="168" t="s">
        <v>14</v>
      </c>
      <c r="BA9" s="168"/>
      <c r="BB9" s="169" t="s">
        <v>23</v>
      </c>
      <c r="BC9" s="170"/>
    </row>
    <row r="10" spans="1:55" x14ac:dyDescent="0.15">
      <c r="A10" s="11"/>
      <c r="B10" s="20"/>
      <c r="C10" s="25">
        <v>15</v>
      </c>
      <c r="D10" s="21"/>
      <c r="E10" s="11"/>
      <c r="F10" s="20"/>
      <c r="G10" s="25">
        <v>15</v>
      </c>
      <c r="H10" s="2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41"/>
      <c r="AF10" s="11"/>
      <c r="AG10" s="11"/>
      <c r="AH10" s="11"/>
      <c r="AI10" s="11"/>
      <c r="AJ10" s="11"/>
      <c r="AK10" s="50">
        <f t="shared" si="0"/>
        <v>15</v>
      </c>
      <c r="AL10" s="50">
        <f t="shared" si="5"/>
        <v>20</v>
      </c>
      <c r="AM10" s="50">
        <f t="shared" si="1"/>
        <v>15</v>
      </c>
      <c r="AN10" s="50">
        <f t="shared" si="2"/>
        <v>15</v>
      </c>
      <c r="AP10" s="50">
        <f t="shared" si="3"/>
        <v>15</v>
      </c>
      <c r="AQ10" s="50">
        <f t="shared" si="4"/>
        <v>15</v>
      </c>
      <c r="AR10" s="49">
        <f t="shared" si="6"/>
        <v>25</v>
      </c>
      <c r="AT10" s="55"/>
      <c r="AU10" s="56">
        <f>'TC-C.B-Fuse'!N21*Sheet2!AU9</f>
        <v>25.042433011491696</v>
      </c>
      <c r="AV10" s="56">
        <f>'TC-C.B-Fuse'!N21*Sheet2!AV9</f>
        <v>12.521216505745848</v>
      </c>
      <c r="AW10" s="56">
        <f>'TC-C.B-Fuse'!N25*Sheet2!AW9</f>
        <v>18.827191485088864</v>
      </c>
      <c r="AX10" s="56">
        <f>'TC-C.B-Fuse'!N25*Sheet2!AX9</f>
        <v>18.827191485088864</v>
      </c>
      <c r="AZ10" s="50" t="s">
        <v>24</v>
      </c>
      <c r="BA10" s="50" t="s">
        <v>15</v>
      </c>
      <c r="BB10" s="50" t="s">
        <v>24</v>
      </c>
      <c r="BC10" s="50" t="s">
        <v>15</v>
      </c>
    </row>
    <row r="11" spans="1:55" x14ac:dyDescent="0.15">
      <c r="A11" s="11"/>
      <c r="B11" s="20"/>
      <c r="C11" s="25">
        <v>25</v>
      </c>
      <c r="D11" s="21"/>
      <c r="E11" s="11"/>
      <c r="F11" s="20"/>
      <c r="G11" s="25">
        <v>20</v>
      </c>
      <c r="H11" s="2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41"/>
      <c r="AF11" s="11"/>
      <c r="AG11" s="11"/>
      <c r="AH11" s="11"/>
      <c r="AI11" s="11"/>
      <c r="AJ11" s="11"/>
      <c r="AK11" s="50">
        <f t="shared" si="0"/>
        <v>20</v>
      </c>
      <c r="AL11" s="50">
        <f t="shared" si="5"/>
        <v>25</v>
      </c>
      <c r="AM11" s="50">
        <f t="shared" si="1"/>
        <v>20</v>
      </c>
      <c r="AN11" s="50">
        <f t="shared" si="2"/>
        <v>20</v>
      </c>
      <c r="AP11" s="50">
        <f t="shared" si="3"/>
        <v>25</v>
      </c>
      <c r="AQ11" s="50">
        <f t="shared" si="4"/>
        <v>25</v>
      </c>
      <c r="AR11" s="49">
        <f t="shared" si="6"/>
        <v>30</v>
      </c>
      <c r="AT11" s="55"/>
      <c r="AU11" s="57">
        <f>IF(AT5=1,(VLOOKUP(AU10,AM6:AN60,2,TRUE)),(VLOOKUP(AU10,AK6:AL60,2,TRUE)))</f>
        <v>25</v>
      </c>
      <c r="AV11" s="57">
        <f>IF(AT5=1,(VLOOKUP(AV10,AM6:AN60,2,TRUE)),(VLOOKUP(AV10,AK6:AL60,2,TRUE)))</f>
        <v>10</v>
      </c>
      <c r="AW11" s="57">
        <f>IF(AT5=1,(VLOOKUP(AW10,AM6:AN60,2,TRUE)),(VLOOKUP(AW10,AK6:AL60,2,TRUE)))</f>
        <v>15</v>
      </c>
      <c r="AX11" s="57">
        <f>IF(AT5=1,(VLOOKUP(AX10,AM6:AN60,2,TRUE)),(VLOOKUP(AX10,AK6:AL60,2,TRUE)))</f>
        <v>15</v>
      </c>
      <c r="AZ11" s="9">
        <f>IF($AZ$5=1,AU11,AV121)</f>
        <v>6</v>
      </c>
      <c r="BA11" s="9">
        <f>IF($AZ$5=1,AV11,AV121)</f>
        <v>6</v>
      </c>
      <c r="BB11" s="9" t="str">
        <f>IF($AZ$5=1,AW11,AW121)</f>
        <v>N/A</v>
      </c>
      <c r="BC11" s="9" t="str">
        <f>IF($AZ$5=1,AX11,AW121)</f>
        <v>N/A</v>
      </c>
    </row>
    <row r="12" spans="1:55" x14ac:dyDescent="0.15">
      <c r="A12" s="11"/>
      <c r="B12" s="20"/>
      <c r="C12" s="25">
        <v>30</v>
      </c>
      <c r="D12" s="21"/>
      <c r="E12" s="11"/>
      <c r="F12" s="20"/>
      <c r="G12" s="25">
        <v>25</v>
      </c>
      <c r="H12" s="2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41"/>
      <c r="AF12" s="11"/>
      <c r="AG12" s="11"/>
      <c r="AH12" s="11"/>
      <c r="AI12" s="11"/>
      <c r="AJ12" s="11"/>
      <c r="AK12" s="50">
        <f t="shared" si="0"/>
        <v>25</v>
      </c>
      <c r="AL12" s="50">
        <f t="shared" si="5"/>
        <v>30</v>
      </c>
      <c r="AM12" s="50">
        <f t="shared" si="1"/>
        <v>25</v>
      </c>
      <c r="AN12" s="50">
        <f t="shared" si="2"/>
        <v>25</v>
      </c>
      <c r="AP12" s="50">
        <f t="shared" si="3"/>
        <v>30</v>
      </c>
      <c r="AQ12" s="50">
        <f t="shared" si="4"/>
        <v>30</v>
      </c>
      <c r="AR12" s="49">
        <f t="shared" si="6"/>
        <v>37.5</v>
      </c>
    </row>
    <row r="13" spans="1:55" x14ac:dyDescent="0.15">
      <c r="A13" s="11"/>
      <c r="B13" s="20"/>
      <c r="C13" s="25">
        <v>37.5</v>
      </c>
      <c r="D13" s="21"/>
      <c r="E13" s="11"/>
      <c r="F13" s="20"/>
      <c r="G13" s="25">
        <v>30</v>
      </c>
      <c r="H13" s="2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41"/>
      <c r="AF13" s="11"/>
      <c r="AG13" s="11"/>
      <c r="AH13" s="11"/>
      <c r="AI13" s="11"/>
      <c r="AJ13" s="11"/>
      <c r="AK13" s="50">
        <f t="shared" si="0"/>
        <v>30</v>
      </c>
      <c r="AL13" s="50">
        <f t="shared" si="5"/>
        <v>35</v>
      </c>
      <c r="AM13" s="50">
        <f t="shared" si="1"/>
        <v>30</v>
      </c>
      <c r="AN13" s="50">
        <f t="shared" si="2"/>
        <v>30</v>
      </c>
      <c r="AP13" s="50">
        <f t="shared" si="3"/>
        <v>37.5</v>
      </c>
      <c r="AQ13" s="50">
        <f t="shared" si="4"/>
        <v>37.5</v>
      </c>
      <c r="AR13" s="49">
        <f t="shared" si="6"/>
        <v>45</v>
      </c>
    </row>
    <row r="14" spans="1:55" x14ac:dyDescent="0.15">
      <c r="A14" s="11"/>
      <c r="B14" s="20"/>
      <c r="C14" s="25">
        <v>45</v>
      </c>
      <c r="D14" s="21"/>
      <c r="E14" s="11"/>
      <c r="F14" s="20"/>
      <c r="G14" s="25">
        <v>35</v>
      </c>
      <c r="H14" s="2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41"/>
      <c r="AF14" s="11"/>
      <c r="AG14" s="11"/>
      <c r="AH14" s="11"/>
      <c r="AI14" s="11"/>
      <c r="AJ14" s="11"/>
      <c r="AK14" s="50">
        <f t="shared" si="0"/>
        <v>35</v>
      </c>
      <c r="AL14" s="50">
        <f t="shared" si="5"/>
        <v>40</v>
      </c>
      <c r="AM14" s="50">
        <f t="shared" si="1"/>
        <v>35</v>
      </c>
      <c r="AN14" s="50">
        <f t="shared" si="2"/>
        <v>35</v>
      </c>
      <c r="AP14" s="50">
        <f t="shared" si="3"/>
        <v>45</v>
      </c>
      <c r="AQ14" s="50">
        <f t="shared" si="4"/>
        <v>45</v>
      </c>
      <c r="AR14" s="49">
        <f t="shared" si="6"/>
        <v>50</v>
      </c>
    </row>
    <row r="15" spans="1:55" x14ac:dyDescent="0.15">
      <c r="A15" s="11"/>
      <c r="B15" s="20"/>
      <c r="C15" s="25">
        <v>50</v>
      </c>
      <c r="D15" s="21"/>
      <c r="E15" s="11"/>
      <c r="F15" s="20"/>
      <c r="G15" s="25">
        <v>40</v>
      </c>
      <c r="H15" s="2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41"/>
      <c r="AF15" s="11"/>
      <c r="AG15" s="11"/>
      <c r="AH15" s="11"/>
      <c r="AI15" s="11"/>
      <c r="AJ15" s="11"/>
      <c r="AK15" s="50">
        <f t="shared" si="0"/>
        <v>40</v>
      </c>
      <c r="AL15" s="50">
        <f t="shared" si="5"/>
        <v>45</v>
      </c>
      <c r="AM15" s="50">
        <f t="shared" si="1"/>
        <v>40</v>
      </c>
      <c r="AN15" s="50">
        <f t="shared" si="2"/>
        <v>40</v>
      </c>
      <c r="AP15" s="50">
        <f t="shared" si="3"/>
        <v>50</v>
      </c>
      <c r="AQ15" s="50">
        <f t="shared" si="4"/>
        <v>50</v>
      </c>
      <c r="AR15" s="49">
        <f t="shared" si="6"/>
        <v>75</v>
      </c>
      <c r="AU15" s="171" t="s">
        <v>21</v>
      </c>
      <c r="AV15" s="171"/>
      <c r="AW15" s="171"/>
      <c r="AX15" s="171"/>
      <c r="AY15" s="171" t="s">
        <v>12</v>
      </c>
      <c r="AZ15" s="171"/>
    </row>
    <row r="16" spans="1:55" ht="15" customHeight="1" x14ac:dyDescent="0.15">
      <c r="A16" s="11"/>
      <c r="B16" s="20"/>
      <c r="C16" s="25">
        <v>75</v>
      </c>
      <c r="D16" s="21"/>
      <c r="E16" s="11"/>
      <c r="F16" s="20"/>
      <c r="G16" s="25">
        <v>45</v>
      </c>
      <c r="H16" s="2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41"/>
      <c r="AF16" s="11"/>
      <c r="AG16" s="11"/>
      <c r="AH16" s="11"/>
      <c r="AI16" s="11"/>
      <c r="AJ16" s="11"/>
      <c r="AK16" s="50">
        <f t="shared" si="0"/>
        <v>45</v>
      </c>
      <c r="AL16" s="50">
        <f t="shared" si="5"/>
        <v>50</v>
      </c>
      <c r="AM16" s="50">
        <f t="shared" si="1"/>
        <v>45</v>
      </c>
      <c r="AN16" s="50">
        <f t="shared" si="2"/>
        <v>45</v>
      </c>
      <c r="AP16" s="50">
        <f t="shared" si="3"/>
        <v>75</v>
      </c>
      <c r="AQ16" s="50">
        <f t="shared" si="4"/>
        <v>75</v>
      </c>
      <c r="AR16" s="49">
        <f t="shared" si="6"/>
        <v>112.5</v>
      </c>
      <c r="AU16" s="176" t="s">
        <v>13</v>
      </c>
      <c r="AV16" s="172" t="s">
        <v>14</v>
      </c>
      <c r="AW16" s="172"/>
      <c r="AX16" s="173" t="s">
        <v>17</v>
      </c>
      <c r="AY16" s="174"/>
      <c r="AZ16" s="175"/>
    </row>
    <row r="17" spans="1:52" x14ac:dyDescent="0.15">
      <c r="A17" s="11"/>
      <c r="B17" s="20"/>
      <c r="C17" s="25">
        <v>112.5</v>
      </c>
      <c r="D17" s="21"/>
      <c r="E17" s="11"/>
      <c r="F17" s="20"/>
      <c r="G17" s="25">
        <v>50</v>
      </c>
      <c r="H17" s="2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41"/>
      <c r="AF17" s="11"/>
      <c r="AG17" s="11"/>
      <c r="AH17" s="11"/>
      <c r="AI17" s="11"/>
      <c r="AJ17" s="11"/>
      <c r="AK17" s="50">
        <f t="shared" si="0"/>
        <v>50</v>
      </c>
      <c r="AL17" s="50">
        <f t="shared" si="5"/>
        <v>60</v>
      </c>
      <c r="AM17" s="50">
        <f t="shared" si="1"/>
        <v>50</v>
      </c>
      <c r="AN17" s="50">
        <f t="shared" si="2"/>
        <v>50</v>
      </c>
      <c r="AP17" s="50">
        <f t="shared" si="3"/>
        <v>112.5</v>
      </c>
      <c r="AQ17" s="50">
        <f t="shared" si="4"/>
        <v>112.5</v>
      </c>
      <c r="AR17" s="49">
        <f t="shared" si="6"/>
        <v>150</v>
      </c>
      <c r="AU17" s="177"/>
      <c r="AV17" s="171" t="s">
        <v>18</v>
      </c>
      <c r="AW17" s="171"/>
      <c r="AX17" s="171" t="s">
        <v>18</v>
      </c>
      <c r="AY17" s="171"/>
      <c r="AZ17" s="53" t="s">
        <v>19</v>
      </c>
    </row>
    <row r="18" spans="1:52" x14ac:dyDescent="0.15">
      <c r="A18" s="11"/>
      <c r="B18" s="20"/>
      <c r="C18" s="25">
        <v>150</v>
      </c>
      <c r="D18" s="21"/>
      <c r="E18" s="11"/>
      <c r="F18" s="20"/>
      <c r="G18" s="25">
        <v>60</v>
      </c>
      <c r="H18" s="2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41"/>
      <c r="AF18" s="11"/>
      <c r="AG18" s="11"/>
      <c r="AH18" s="11"/>
      <c r="AI18" s="11"/>
      <c r="AJ18" s="11"/>
      <c r="AK18" s="50">
        <f t="shared" si="0"/>
        <v>60</v>
      </c>
      <c r="AL18" s="50">
        <f t="shared" si="5"/>
        <v>70</v>
      </c>
      <c r="AM18" s="50">
        <f t="shared" si="1"/>
        <v>60</v>
      </c>
      <c r="AN18" s="50">
        <f t="shared" si="2"/>
        <v>60</v>
      </c>
      <c r="AP18" s="50">
        <f t="shared" si="3"/>
        <v>150</v>
      </c>
      <c r="AQ18" s="50">
        <f t="shared" si="4"/>
        <v>150</v>
      </c>
      <c r="AR18" s="49">
        <f t="shared" si="6"/>
        <v>225</v>
      </c>
      <c r="AU18" s="177"/>
      <c r="AV18" s="53" t="s">
        <v>16</v>
      </c>
      <c r="AW18" s="53" t="s">
        <v>15</v>
      </c>
      <c r="AX18" s="53" t="s">
        <v>16</v>
      </c>
      <c r="AY18" s="53" t="s">
        <v>15</v>
      </c>
      <c r="AZ18" s="53" t="s">
        <v>20</v>
      </c>
    </row>
    <row r="19" spans="1:52" x14ac:dyDescent="0.15">
      <c r="A19" s="11"/>
      <c r="B19" s="20"/>
      <c r="C19" s="25">
        <v>225</v>
      </c>
      <c r="D19" s="21"/>
      <c r="E19" s="11"/>
      <c r="F19" s="20"/>
      <c r="G19" s="25">
        <v>70</v>
      </c>
      <c r="H19" s="2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41"/>
      <c r="AF19" s="11"/>
      <c r="AG19" s="11"/>
      <c r="AH19" s="11"/>
      <c r="AI19" s="11"/>
      <c r="AJ19" s="11"/>
      <c r="AK19" s="50">
        <f t="shared" si="0"/>
        <v>70</v>
      </c>
      <c r="AL19" s="50">
        <f t="shared" si="5"/>
        <v>80</v>
      </c>
      <c r="AM19" s="50">
        <f t="shared" si="1"/>
        <v>70</v>
      </c>
      <c r="AN19" s="50">
        <f t="shared" si="2"/>
        <v>70</v>
      </c>
      <c r="AP19" s="50">
        <f t="shared" si="3"/>
        <v>225</v>
      </c>
      <c r="AQ19" s="50">
        <f t="shared" si="4"/>
        <v>225</v>
      </c>
      <c r="AR19" s="49">
        <f t="shared" si="6"/>
        <v>300</v>
      </c>
      <c r="AU19" s="178"/>
      <c r="AV19" s="53"/>
      <c r="AW19" s="53"/>
      <c r="AX19" s="53"/>
      <c r="AY19" s="53"/>
      <c r="AZ19" s="53"/>
    </row>
    <row r="20" spans="1:52" x14ac:dyDescent="0.15">
      <c r="A20" s="11"/>
      <c r="B20" s="20"/>
      <c r="C20" s="25">
        <v>300</v>
      </c>
      <c r="D20" s="21"/>
      <c r="E20" s="11"/>
      <c r="F20" s="20"/>
      <c r="G20" s="25">
        <v>80</v>
      </c>
      <c r="H20" s="2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41"/>
      <c r="AF20" s="11"/>
      <c r="AG20" s="11"/>
      <c r="AH20" s="11"/>
      <c r="AI20" s="11"/>
      <c r="AJ20" s="11"/>
      <c r="AK20" s="50">
        <f t="shared" si="0"/>
        <v>80</v>
      </c>
      <c r="AL20" s="50">
        <f t="shared" si="5"/>
        <v>90</v>
      </c>
      <c r="AM20" s="50">
        <f t="shared" si="1"/>
        <v>80</v>
      </c>
      <c r="AN20" s="50">
        <f t="shared" si="2"/>
        <v>80</v>
      </c>
      <c r="AP20" s="50">
        <f t="shared" si="3"/>
        <v>300</v>
      </c>
      <c r="AQ20" s="50">
        <f t="shared" si="4"/>
        <v>300</v>
      </c>
      <c r="AR20" s="49">
        <f t="shared" si="6"/>
        <v>500</v>
      </c>
      <c r="AU20" s="58">
        <v>0.01</v>
      </c>
      <c r="AV20" s="59">
        <v>6</v>
      </c>
      <c r="AW20" s="59">
        <v>3</v>
      </c>
      <c r="AX20" s="59">
        <v>3</v>
      </c>
      <c r="AY20" s="59">
        <v>2.5</v>
      </c>
      <c r="AZ20" s="59">
        <v>2.5</v>
      </c>
    </row>
    <row r="21" spans="1:52" x14ac:dyDescent="0.15">
      <c r="A21" s="11"/>
      <c r="B21" s="20"/>
      <c r="C21" s="25">
        <v>500</v>
      </c>
      <c r="D21" s="21"/>
      <c r="E21" s="11"/>
      <c r="F21" s="20"/>
      <c r="G21" s="25">
        <v>90</v>
      </c>
      <c r="H21" s="2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41"/>
      <c r="AF21" s="11"/>
      <c r="AG21" s="11"/>
      <c r="AH21" s="11"/>
      <c r="AI21" s="11"/>
      <c r="AJ21" s="11"/>
      <c r="AK21" s="50">
        <f t="shared" si="0"/>
        <v>90</v>
      </c>
      <c r="AL21" s="50">
        <f t="shared" si="5"/>
        <v>100</v>
      </c>
      <c r="AM21" s="50">
        <f t="shared" si="1"/>
        <v>90</v>
      </c>
      <c r="AN21" s="50">
        <f t="shared" si="2"/>
        <v>90</v>
      </c>
      <c r="AP21" s="50">
        <f t="shared" si="3"/>
        <v>500</v>
      </c>
      <c r="AQ21" s="50">
        <f t="shared" si="4"/>
        <v>500</v>
      </c>
      <c r="AR21" s="49">
        <f t="shared" si="6"/>
        <v>750</v>
      </c>
      <c r="AU21" s="58">
        <v>0.02</v>
      </c>
      <c r="AV21" s="59">
        <v>6</v>
      </c>
      <c r="AW21" s="59">
        <v>3</v>
      </c>
      <c r="AX21" s="59">
        <v>3</v>
      </c>
      <c r="AY21" s="59">
        <v>2.5</v>
      </c>
      <c r="AZ21" s="59">
        <v>2.5</v>
      </c>
    </row>
    <row r="22" spans="1:52" x14ac:dyDescent="0.15">
      <c r="A22" s="11"/>
      <c r="B22" s="20"/>
      <c r="C22" s="25">
        <v>750</v>
      </c>
      <c r="D22" s="21"/>
      <c r="E22" s="11"/>
      <c r="F22" s="20"/>
      <c r="G22" s="25">
        <v>100</v>
      </c>
      <c r="H22" s="2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41"/>
      <c r="AF22" s="11"/>
      <c r="AG22" s="11"/>
      <c r="AH22" s="11"/>
      <c r="AI22" s="11"/>
      <c r="AJ22" s="11"/>
      <c r="AK22" s="50">
        <f t="shared" si="0"/>
        <v>100</v>
      </c>
      <c r="AL22" s="50">
        <f t="shared" si="5"/>
        <v>110</v>
      </c>
      <c r="AM22" s="50">
        <f t="shared" si="1"/>
        <v>100</v>
      </c>
      <c r="AN22" s="50">
        <f t="shared" si="2"/>
        <v>100</v>
      </c>
      <c r="AP22" s="50">
        <f t="shared" si="3"/>
        <v>750</v>
      </c>
      <c r="AQ22" s="50">
        <f t="shared" si="4"/>
        <v>750</v>
      </c>
      <c r="AR22" s="49">
        <f t="shared" si="6"/>
        <v>1000</v>
      </c>
      <c r="AU22" s="58">
        <v>0.03</v>
      </c>
      <c r="AV22" s="59">
        <v>6</v>
      </c>
      <c r="AW22" s="59">
        <v>3</v>
      </c>
      <c r="AX22" s="59">
        <v>3</v>
      </c>
      <c r="AY22" s="59">
        <v>2.5</v>
      </c>
      <c r="AZ22" s="59">
        <v>2.5</v>
      </c>
    </row>
    <row r="23" spans="1:52" x14ac:dyDescent="0.15">
      <c r="A23" s="11"/>
      <c r="B23" s="20"/>
      <c r="C23" s="25">
        <v>1000</v>
      </c>
      <c r="D23" s="21"/>
      <c r="E23" s="11"/>
      <c r="F23" s="20"/>
      <c r="G23" s="25">
        <v>110</v>
      </c>
      <c r="H23" s="2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41"/>
      <c r="AF23" s="11"/>
      <c r="AG23" s="11"/>
      <c r="AH23" s="11"/>
      <c r="AI23" s="11"/>
      <c r="AJ23" s="11"/>
      <c r="AK23" s="50">
        <f t="shared" si="0"/>
        <v>110</v>
      </c>
      <c r="AL23" s="50">
        <f t="shared" si="5"/>
        <v>125</v>
      </c>
      <c r="AM23" s="50">
        <f t="shared" si="1"/>
        <v>110</v>
      </c>
      <c r="AN23" s="50">
        <f t="shared" si="2"/>
        <v>110</v>
      </c>
      <c r="AP23" s="50">
        <f t="shared" si="3"/>
        <v>1000</v>
      </c>
      <c r="AQ23" s="50">
        <f t="shared" si="4"/>
        <v>1000</v>
      </c>
      <c r="AR23" s="49">
        <f t="shared" si="6"/>
        <v>1500</v>
      </c>
      <c r="AU23" s="58">
        <v>0.04</v>
      </c>
      <c r="AV23" s="59">
        <v>6</v>
      </c>
      <c r="AW23" s="59">
        <v>3</v>
      </c>
      <c r="AX23" s="59">
        <v>3</v>
      </c>
      <c r="AY23" s="59">
        <v>2.5</v>
      </c>
      <c r="AZ23" s="59">
        <v>2.5</v>
      </c>
    </row>
    <row r="24" spans="1:52" x14ac:dyDescent="0.15">
      <c r="A24" s="11"/>
      <c r="B24" s="20"/>
      <c r="C24" s="25">
        <v>1500</v>
      </c>
      <c r="D24" s="21"/>
      <c r="E24" s="11"/>
      <c r="F24" s="20"/>
      <c r="G24" s="25">
        <v>125</v>
      </c>
      <c r="H24" s="2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41"/>
      <c r="AF24" s="11"/>
      <c r="AG24" s="11"/>
      <c r="AH24" s="11"/>
      <c r="AI24" s="11"/>
      <c r="AJ24" s="11"/>
      <c r="AK24" s="50">
        <f t="shared" si="0"/>
        <v>125</v>
      </c>
      <c r="AL24" s="50">
        <f t="shared" si="5"/>
        <v>150</v>
      </c>
      <c r="AM24" s="50">
        <f t="shared" si="1"/>
        <v>125</v>
      </c>
      <c r="AN24" s="50">
        <f t="shared" si="2"/>
        <v>125</v>
      </c>
      <c r="AP24" s="50">
        <f t="shared" si="3"/>
        <v>1500</v>
      </c>
      <c r="AQ24" s="50">
        <f t="shared" si="4"/>
        <v>1500</v>
      </c>
      <c r="AR24" s="49">
        <f t="shared" si="6"/>
        <v>2000</v>
      </c>
      <c r="AU24" s="58">
        <v>0.05</v>
      </c>
      <c r="AV24" s="59">
        <v>6</v>
      </c>
      <c r="AW24" s="59">
        <v>3</v>
      </c>
      <c r="AX24" s="59">
        <v>3</v>
      </c>
      <c r="AY24" s="59">
        <v>2.5</v>
      </c>
      <c r="AZ24" s="59">
        <v>2.5</v>
      </c>
    </row>
    <row r="25" spans="1:52" x14ac:dyDescent="0.15">
      <c r="A25" s="11"/>
      <c r="B25" s="20"/>
      <c r="C25" s="25">
        <v>2000</v>
      </c>
      <c r="D25" s="21"/>
      <c r="E25" s="11"/>
      <c r="F25" s="20"/>
      <c r="G25" s="25">
        <v>150</v>
      </c>
      <c r="H25" s="2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41"/>
      <c r="AF25" s="11"/>
      <c r="AG25" s="11"/>
      <c r="AH25" s="11"/>
      <c r="AI25" s="11"/>
      <c r="AJ25" s="11"/>
      <c r="AK25" s="50">
        <f t="shared" si="0"/>
        <v>150</v>
      </c>
      <c r="AL25" s="50">
        <f t="shared" si="5"/>
        <v>160</v>
      </c>
      <c r="AM25" s="50">
        <f t="shared" si="1"/>
        <v>150</v>
      </c>
      <c r="AN25" s="50">
        <f t="shared" si="2"/>
        <v>150</v>
      </c>
      <c r="AP25" s="50">
        <f t="shared" si="3"/>
        <v>2000</v>
      </c>
      <c r="AQ25" s="50">
        <f t="shared" si="4"/>
        <v>2000</v>
      </c>
      <c r="AR25" s="49">
        <f t="shared" si="6"/>
        <v>2500</v>
      </c>
      <c r="AU25" s="58">
        <v>0.06</v>
      </c>
      <c r="AV25" s="59">
        <v>6</v>
      </c>
      <c r="AW25" s="59">
        <v>3</v>
      </c>
      <c r="AX25" s="59">
        <v>3</v>
      </c>
      <c r="AY25" s="59">
        <v>2.5</v>
      </c>
      <c r="AZ25" s="59">
        <v>2.5</v>
      </c>
    </row>
    <row r="26" spans="1:52" x14ac:dyDescent="0.15">
      <c r="A26" s="11"/>
      <c r="B26" s="20"/>
      <c r="C26" s="25">
        <v>2500</v>
      </c>
      <c r="D26" s="21"/>
      <c r="E26" s="11"/>
      <c r="F26" s="20"/>
      <c r="G26" s="25">
        <v>160</v>
      </c>
      <c r="H26" s="2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41"/>
      <c r="AF26" s="11"/>
      <c r="AG26" s="11"/>
      <c r="AH26" s="11"/>
      <c r="AI26" s="11"/>
      <c r="AJ26" s="11"/>
      <c r="AK26" s="50">
        <f t="shared" si="0"/>
        <v>160</v>
      </c>
      <c r="AL26" s="50">
        <f t="shared" si="5"/>
        <v>175</v>
      </c>
      <c r="AM26" s="50">
        <f t="shared" si="1"/>
        <v>160</v>
      </c>
      <c r="AN26" s="50">
        <f t="shared" si="2"/>
        <v>160</v>
      </c>
      <c r="AP26" s="50">
        <f t="shared" si="3"/>
        <v>2500</v>
      </c>
      <c r="AQ26" s="50">
        <f t="shared" si="4"/>
        <v>2500</v>
      </c>
      <c r="AR26" s="49">
        <f t="shared" si="6"/>
        <v>3750</v>
      </c>
      <c r="AU26" s="58">
        <v>7.0000000000000007E-2</v>
      </c>
      <c r="AV26" s="59">
        <v>4</v>
      </c>
      <c r="AW26" s="59">
        <v>3</v>
      </c>
      <c r="AX26" s="59">
        <v>2.5</v>
      </c>
      <c r="AY26" s="59">
        <v>2.25</v>
      </c>
      <c r="AZ26" s="59">
        <v>2.5</v>
      </c>
    </row>
    <row r="27" spans="1:52" x14ac:dyDescent="0.15">
      <c r="A27" s="11"/>
      <c r="B27" s="20"/>
      <c r="C27" s="25">
        <v>3750</v>
      </c>
      <c r="D27" s="21"/>
      <c r="E27" s="11"/>
      <c r="F27" s="20"/>
      <c r="G27" s="25">
        <v>175</v>
      </c>
      <c r="H27" s="2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41"/>
      <c r="AF27" s="11"/>
      <c r="AG27" s="11"/>
      <c r="AH27" s="11"/>
      <c r="AI27" s="11"/>
      <c r="AJ27" s="11"/>
      <c r="AK27" s="50">
        <f t="shared" si="0"/>
        <v>175</v>
      </c>
      <c r="AL27" s="50">
        <f t="shared" si="5"/>
        <v>200</v>
      </c>
      <c r="AM27" s="50">
        <f t="shared" si="1"/>
        <v>175</v>
      </c>
      <c r="AN27" s="50">
        <f t="shared" si="2"/>
        <v>175</v>
      </c>
      <c r="AP27" s="50">
        <f t="shared" si="3"/>
        <v>3750</v>
      </c>
      <c r="AQ27" s="50">
        <f t="shared" si="4"/>
        <v>3750</v>
      </c>
      <c r="AR27" s="49">
        <f t="shared" si="6"/>
        <v>5000</v>
      </c>
      <c r="AU27" s="58">
        <v>0.08</v>
      </c>
      <c r="AV27" s="59">
        <v>4</v>
      </c>
      <c r="AW27" s="59">
        <v>3</v>
      </c>
      <c r="AX27" s="59">
        <v>2.5</v>
      </c>
      <c r="AY27" s="59">
        <v>2.25</v>
      </c>
      <c r="AZ27" s="59">
        <v>2.5</v>
      </c>
    </row>
    <row r="28" spans="1:52" x14ac:dyDescent="0.15">
      <c r="A28" s="11"/>
      <c r="B28" s="20"/>
      <c r="C28" s="25">
        <v>5000</v>
      </c>
      <c r="D28" s="21"/>
      <c r="E28" s="11"/>
      <c r="F28" s="20"/>
      <c r="G28" s="25">
        <v>200</v>
      </c>
      <c r="H28" s="2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41"/>
      <c r="AF28" s="11"/>
      <c r="AG28" s="11"/>
      <c r="AH28" s="11"/>
      <c r="AI28" s="11"/>
      <c r="AJ28" s="11"/>
      <c r="AK28" s="50">
        <f t="shared" si="0"/>
        <v>200</v>
      </c>
      <c r="AL28" s="50">
        <f t="shared" si="5"/>
        <v>225</v>
      </c>
      <c r="AM28" s="50">
        <f t="shared" si="1"/>
        <v>200</v>
      </c>
      <c r="AN28" s="50">
        <f t="shared" si="2"/>
        <v>200</v>
      </c>
      <c r="AP28" s="50">
        <f t="shared" si="3"/>
        <v>5000</v>
      </c>
      <c r="AQ28" s="50">
        <f t="shared" si="4"/>
        <v>5000</v>
      </c>
      <c r="AR28" s="49">
        <f t="shared" si="6"/>
        <v>7500</v>
      </c>
      <c r="AU28" s="58">
        <v>0.09</v>
      </c>
      <c r="AV28" s="59">
        <v>4</v>
      </c>
      <c r="AW28" s="59">
        <v>3</v>
      </c>
      <c r="AX28" s="59">
        <v>2.5</v>
      </c>
      <c r="AY28" s="59">
        <v>2.25</v>
      </c>
      <c r="AZ28" s="59">
        <v>2.5</v>
      </c>
    </row>
    <row r="29" spans="1:52" x14ac:dyDescent="0.15">
      <c r="A29" s="11"/>
      <c r="B29" s="20"/>
      <c r="C29" s="25">
        <v>7500</v>
      </c>
      <c r="D29" s="21"/>
      <c r="E29" s="11"/>
      <c r="F29" s="20"/>
      <c r="G29" s="25">
        <v>225</v>
      </c>
      <c r="H29" s="2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41"/>
      <c r="AF29" s="11"/>
      <c r="AG29" s="11"/>
      <c r="AH29" s="11"/>
      <c r="AI29" s="11"/>
      <c r="AJ29" s="11"/>
      <c r="AK29" s="50">
        <f t="shared" si="0"/>
        <v>225</v>
      </c>
      <c r="AL29" s="50">
        <f t="shared" si="5"/>
        <v>250</v>
      </c>
      <c r="AM29" s="50">
        <f t="shared" si="1"/>
        <v>225</v>
      </c>
      <c r="AN29" s="50">
        <f t="shared" si="2"/>
        <v>225</v>
      </c>
      <c r="AP29" s="50">
        <f t="shared" si="3"/>
        <v>7500</v>
      </c>
      <c r="AQ29" s="50">
        <f t="shared" si="4"/>
        <v>7500</v>
      </c>
      <c r="AR29" s="49">
        <f t="shared" si="6"/>
        <v>10000</v>
      </c>
      <c r="AU29" s="58">
        <v>0.1</v>
      </c>
      <c r="AV29" s="59">
        <v>4</v>
      </c>
      <c r="AW29" s="59">
        <v>3</v>
      </c>
      <c r="AX29" s="59">
        <v>2.5</v>
      </c>
      <c r="AY29" s="59">
        <v>2.25</v>
      </c>
      <c r="AZ29" s="59">
        <v>2.5</v>
      </c>
    </row>
    <row r="30" spans="1:52" x14ac:dyDescent="0.15">
      <c r="A30" s="11"/>
      <c r="B30" s="20"/>
      <c r="C30" s="25">
        <v>10000</v>
      </c>
      <c r="D30" s="21"/>
      <c r="E30" s="11"/>
      <c r="F30" s="20"/>
      <c r="G30" s="25">
        <v>250</v>
      </c>
      <c r="H30" s="2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41"/>
      <c r="AF30" s="11"/>
      <c r="AG30" s="11"/>
      <c r="AH30" s="11"/>
      <c r="AI30" s="11"/>
      <c r="AJ30" s="11"/>
      <c r="AK30" s="50">
        <f t="shared" si="0"/>
        <v>250</v>
      </c>
      <c r="AL30" s="50">
        <f t="shared" si="5"/>
        <v>300</v>
      </c>
      <c r="AM30" s="50">
        <f t="shared" si="1"/>
        <v>250</v>
      </c>
      <c r="AN30" s="50">
        <f t="shared" si="2"/>
        <v>250</v>
      </c>
      <c r="AP30" s="50">
        <f t="shared" si="3"/>
        <v>10000</v>
      </c>
      <c r="AQ30" s="50">
        <f t="shared" si="4"/>
        <v>10000</v>
      </c>
      <c r="AR30" s="49">
        <f t="shared" si="6"/>
        <v>12000</v>
      </c>
    </row>
    <row r="31" spans="1:52" x14ac:dyDescent="0.15">
      <c r="A31" s="11"/>
      <c r="B31" s="20"/>
      <c r="C31" s="25">
        <v>12000</v>
      </c>
      <c r="D31" s="21"/>
      <c r="E31" s="11"/>
      <c r="F31" s="20"/>
      <c r="G31" s="25">
        <v>300</v>
      </c>
      <c r="H31" s="2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41"/>
      <c r="AF31" s="11"/>
      <c r="AG31" s="11"/>
      <c r="AH31" s="11"/>
      <c r="AI31" s="11"/>
      <c r="AJ31" s="11"/>
      <c r="AK31" s="50">
        <f t="shared" si="0"/>
        <v>300</v>
      </c>
      <c r="AL31" s="50">
        <f t="shared" si="5"/>
        <v>350</v>
      </c>
      <c r="AM31" s="50">
        <f t="shared" si="1"/>
        <v>300</v>
      </c>
      <c r="AN31" s="50">
        <f t="shared" si="2"/>
        <v>300</v>
      </c>
      <c r="AP31" s="50">
        <f t="shared" si="3"/>
        <v>12000</v>
      </c>
      <c r="AQ31" s="50">
        <f t="shared" si="4"/>
        <v>12000</v>
      </c>
      <c r="AR31" s="49">
        <f t="shared" si="6"/>
        <v>15000</v>
      </c>
    </row>
    <row r="32" spans="1:52" x14ac:dyDescent="0.15">
      <c r="A32" s="11"/>
      <c r="B32" s="20"/>
      <c r="C32" s="25">
        <v>15000</v>
      </c>
      <c r="D32" s="21"/>
      <c r="E32" s="11"/>
      <c r="F32" s="20"/>
      <c r="G32" s="25">
        <v>350</v>
      </c>
      <c r="H32" s="2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41"/>
      <c r="AF32" s="11"/>
      <c r="AG32" s="11"/>
      <c r="AH32" s="11"/>
      <c r="AI32" s="11"/>
      <c r="AJ32" s="11"/>
      <c r="AK32" s="50">
        <f t="shared" si="0"/>
        <v>350</v>
      </c>
      <c r="AL32" s="50">
        <f t="shared" si="5"/>
        <v>400</v>
      </c>
      <c r="AM32" s="50">
        <f t="shared" si="1"/>
        <v>350</v>
      </c>
      <c r="AN32" s="50">
        <f t="shared" si="2"/>
        <v>350</v>
      </c>
      <c r="AP32" s="50">
        <f t="shared" si="3"/>
        <v>15000</v>
      </c>
      <c r="AQ32" s="50">
        <f t="shared" si="4"/>
        <v>15000</v>
      </c>
      <c r="AR32" s="49">
        <f t="shared" si="6"/>
        <v>20000</v>
      </c>
    </row>
    <row r="33" spans="1:52" x14ac:dyDescent="0.15">
      <c r="A33" s="11"/>
      <c r="B33" s="20"/>
      <c r="C33" s="25">
        <v>20000</v>
      </c>
      <c r="D33" s="21"/>
      <c r="E33" s="11"/>
      <c r="F33" s="20"/>
      <c r="G33" s="25">
        <v>400</v>
      </c>
      <c r="H33" s="2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41"/>
      <c r="AF33" s="11"/>
      <c r="AG33" s="11"/>
      <c r="AH33" s="11"/>
      <c r="AI33" s="11"/>
      <c r="AJ33" s="11"/>
      <c r="AK33" s="50">
        <f t="shared" si="0"/>
        <v>400</v>
      </c>
      <c r="AL33" s="50">
        <f t="shared" si="5"/>
        <v>450</v>
      </c>
      <c r="AM33" s="50">
        <f t="shared" si="1"/>
        <v>400</v>
      </c>
      <c r="AN33" s="50">
        <f t="shared" si="2"/>
        <v>400</v>
      </c>
      <c r="AP33" s="50">
        <f t="shared" ref="AP33:AP54" si="7">IF(C33="","",C33)</f>
        <v>20000</v>
      </c>
      <c r="AQ33" s="50">
        <f t="shared" si="4"/>
        <v>20000</v>
      </c>
      <c r="AR33" s="49">
        <f t="shared" si="6"/>
        <v>25000</v>
      </c>
      <c r="AT33" s="46" t="s">
        <v>27</v>
      </c>
      <c r="AU33" s="60">
        <f>'TC-C.B-Fuse'!N9</f>
        <v>0.05</v>
      </c>
      <c r="AV33" s="61">
        <f>'TC-C.B-Fuse'!AO7</f>
        <v>0</v>
      </c>
      <c r="AW33" s="62" t="s">
        <v>16</v>
      </c>
      <c r="AX33" s="60">
        <f>VLOOKUP(AU33,AU20:AZ29,2,TRUE)</f>
        <v>6</v>
      </c>
      <c r="AY33" s="62" t="s">
        <v>15</v>
      </c>
      <c r="AZ33" s="60">
        <f>VLOOKUP(AU33,AU20:AZ29,3,TRUE)</f>
        <v>3</v>
      </c>
    </row>
    <row r="34" spans="1:52" x14ac:dyDescent="0.15">
      <c r="A34" s="11"/>
      <c r="B34" s="20"/>
      <c r="C34" s="25">
        <v>25000</v>
      </c>
      <c r="D34" s="21"/>
      <c r="E34" s="11"/>
      <c r="F34" s="20"/>
      <c r="G34" s="25">
        <v>450</v>
      </c>
      <c r="H34" s="2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41"/>
      <c r="AF34" s="11"/>
      <c r="AG34" s="11"/>
      <c r="AH34" s="11"/>
      <c r="AI34" s="11"/>
      <c r="AJ34" s="11"/>
      <c r="AK34" s="50">
        <f t="shared" si="0"/>
        <v>450</v>
      </c>
      <c r="AL34" s="50">
        <f t="shared" si="5"/>
        <v>500</v>
      </c>
      <c r="AM34" s="50">
        <f t="shared" si="1"/>
        <v>450</v>
      </c>
      <c r="AN34" s="50">
        <f t="shared" si="2"/>
        <v>450</v>
      </c>
      <c r="AP34" s="50">
        <f t="shared" si="7"/>
        <v>25000</v>
      </c>
      <c r="AQ34" s="50">
        <f t="shared" si="4"/>
        <v>25000</v>
      </c>
      <c r="AR34" s="49">
        <f t="shared" si="6"/>
        <v>30000</v>
      </c>
      <c r="AT34" s="46" t="s">
        <v>26</v>
      </c>
      <c r="AV34" s="61">
        <f>'TC-C.B-Fuse'!AO8</f>
        <v>0</v>
      </c>
      <c r="AW34" s="62" t="s">
        <v>16</v>
      </c>
      <c r="AX34" s="60">
        <f>IF(AV34=0,(VLOOKUP(AU33,AU20:AZ29,6,TRUE)),(VLOOKUP(AU33,AU20:AZ29,4,TRUE)))</f>
        <v>2.5</v>
      </c>
      <c r="AY34" s="62" t="s">
        <v>15</v>
      </c>
      <c r="AZ34" s="60">
        <f>IF(AV34=0,(VLOOKUP(AU33,AU20:AZ29,6,TRUE)),(VLOOKUP(AU33,AU20:AZ29,5,TRUE)))</f>
        <v>2.5</v>
      </c>
    </row>
    <row r="35" spans="1:52" x14ac:dyDescent="0.15">
      <c r="A35" s="11"/>
      <c r="B35" s="20"/>
      <c r="C35" s="25">
        <v>30000</v>
      </c>
      <c r="D35" s="21"/>
      <c r="E35" s="11"/>
      <c r="F35" s="20"/>
      <c r="G35" s="25">
        <v>500</v>
      </c>
      <c r="H35" s="2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41"/>
      <c r="AF35" s="11"/>
      <c r="AG35" s="11"/>
      <c r="AH35" s="11"/>
      <c r="AI35" s="11"/>
      <c r="AJ35" s="11"/>
      <c r="AK35" s="50">
        <f t="shared" si="0"/>
        <v>500</v>
      </c>
      <c r="AL35" s="50">
        <f t="shared" si="5"/>
        <v>600</v>
      </c>
      <c r="AM35" s="50">
        <f t="shared" si="1"/>
        <v>500</v>
      </c>
      <c r="AN35" s="50">
        <f t="shared" si="2"/>
        <v>500</v>
      </c>
      <c r="AP35" s="50">
        <f t="shared" si="7"/>
        <v>30000</v>
      </c>
      <c r="AQ35" s="50">
        <f t="shared" si="4"/>
        <v>30000</v>
      </c>
      <c r="AR35" s="49">
        <f t="shared" si="6"/>
        <v>37500</v>
      </c>
    </row>
    <row r="36" spans="1:52" x14ac:dyDescent="0.15">
      <c r="A36" s="11"/>
      <c r="B36" s="20"/>
      <c r="C36" s="25">
        <v>37500</v>
      </c>
      <c r="D36" s="21"/>
      <c r="E36" s="11"/>
      <c r="F36" s="20"/>
      <c r="G36" s="25">
        <v>600</v>
      </c>
      <c r="H36" s="2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41"/>
      <c r="AF36" s="11"/>
      <c r="AG36" s="11"/>
      <c r="AH36" s="11"/>
      <c r="AI36" s="11"/>
      <c r="AJ36" s="11"/>
      <c r="AK36" s="50">
        <f t="shared" si="0"/>
        <v>600</v>
      </c>
      <c r="AL36" s="50">
        <f t="shared" si="5"/>
        <v>700</v>
      </c>
      <c r="AM36" s="50">
        <f t="shared" si="1"/>
        <v>600</v>
      </c>
      <c r="AN36" s="50">
        <f t="shared" si="2"/>
        <v>600</v>
      </c>
      <c r="AP36" s="50">
        <f t="shared" si="7"/>
        <v>37500</v>
      </c>
      <c r="AQ36" s="50">
        <f t="shared" si="4"/>
        <v>37500</v>
      </c>
      <c r="AR36" s="49">
        <f t="shared" si="6"/>
        <v>50000</v>
      </c>
    </row>
    <row r="37" spans="1:52" x14ac:dyDescent="0.15">
      <c r="A37" s="11"/>
      <c r="B37" s="20"/>
      <c r="C37" s="25">
        <v>50000</v>
      </c>
      <c r="D37" s="21"/>
      <c r="E37" s="11"/>
      <c r="F37" s="20"/>
      <c r="G37" s="25">
        <v>700</v>
      </c>
      <c r="H37" s="2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41"/>
      <c r="AF37" s="11"/>
      <c r="AG37" s="11"/>
      <c r="AH37" s="11"/>
      <c r="AI37" s="11"/>
      <c r="AJ37" s="11"/>
      <c r="AK37" s="50">
        <f t="shared" si="0"/>
        <v>700</v>
      </c>
      <c r="AL37" s="50">
        <f t="shared" si="5"/>
        <v>800</v>
      </c>
      <c r="AM37" s="50">
        <f t="shared" si="1"/>
        <v>700</v>
      </c>
      <c r="AN37" s="50">
        <f t="shared" si="2"/>
        <v>700</v>
      </c>
      <c r="AP37" s="50">
        <f t="shared" si="7"/>
        <v>50000</v>
      </c>
      <c r="AQ37" s="50">
        <f t="shared" si="4"/>
        <v>50000</v>
      </c>
      <c r="AR37" s="49">
        <f t="shared" si="6"/>
        <v>60000</v>
      </c>
    </row>
    <row r="38" spans="1:52" x14ac:dyDescent="0.15">
      <c r="A38" s="11"/>
      <c r="B38" s="20"/>
      <c r="C38" s="25">
        <v>60000</v>
      </c>
      <c r="D38" s="21"/>
      <c r="E38" s="11"/>
      <c r="F38" s="20"/>
      <c r="G38" s="25">
        <v>800</v>
      </c>
      <c r="H38" s="2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41"/>
      <c r="AF38" s="11"/>
      <c r="AG38" s="11"/>
      <c r="AH38" s="11"/>
      <c r="AI38" s="11"/>
      <c r="AJ38" s="11"/>
      <c r="AK38" s="50">
        <f t="shared" si="0"/>
        <v>800</v>
      </c>
      <c r="AL38" s="50">
        <f>IF(AK38="","",IF(AK39="",AK38,AK39))</f>
        <v>1000</v>
      </c>
      <c r="AM38" s="50">
        <f t="shared" si="1"/>
        <v>800</v>
      </c>
      <c r="AN38" s="50">
        <f t="shared" si="2"/>
        <v>800</v>
      </c>
      <c r="AP38" s="50">
        <f t="shared" si="7"/>
        <v>60000</v>
      </c>
      <c r="AQ38" s="50">
        <f t="shared" si="4"/>
        <v>60000</v>
      </c>
      <c r="AR38" s="49">
        <f t="shared" si="6"/>
        <v>75000</v>
      </c>
    </row>
    <row r="39" spans="1:52" x14ac:dyDescent="0.15">
      <c r="A39" s="11"/>
      <c r="B39" s="20"/>
      <c r="C39" s="25">
        <v>75000</v>
      </c>
      <c r="D39" s="21"/>
      <c r="E39" s="11"/>
      <c r="F39" s="20"/>
      <c r="G39" s="25">
        <v>1000</v>
      </c>
      <c r="H39" s="2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41"/>
      <c r="AF39" s="11"/>
      <c r="AG39" s="11"/>
      <c r="AH39" s="11"/>
      <c r="AI39" s="11"/>
      <c r="AJ39" s="11"/>
      <c r="AK39" s="50">
        <f t="shared" si="0"/>
        <v>1000</v>
      </c>
      <c r="AL39" s="50">
        <f t="shared" si="5"/>
        <v>1200</v>
      </c>
      <c r="AM39" s="50">
        <f t="shared" si="1"/>
        <v>1000</v>
      </c>
      <c r="AN39" s="50">
        <f t="shared" si="2"/>
        <v>1000</v>
      </c>
      <c r="AP39" s="50">
        <f t="shared" si="7"/>
        <v>75000</v>
      </c>
      <c r="AQ39" s="50">
        <f t="shared" si="4"/>
        <v>75000</v>
      </c>
      <c r="AR39" s="49">
        <f t="shared" si="6"/>
        <v>100000</v>
      </c>
      <c r="AT39" s="46" t="s">
        <v>27</v>
      </c>
      <c r="AU39" s="60">
        <f>'TC-C.B-Fuse'!N9</f>
        <v>0.05</v>
      </c>
      <c r="AV39" s="61">
        <f>'TC-C.B-Fuse'!AO7</f>
        <v>0</v>
      </c>
      <c r="AW39" s="62" t="s">
        <v>16</v>
      </c>
      <c r="AX39" s="60">
        <f>VLOOKUP(AU39,AU65:AZ74,2,TRUE)</f>
        <v>6</v>
      </c>
      <c r="AY39" s="62" t="s">
        <v>15</v>
      </c>
      <c r="AZ39" s="60">
        <f>VLOOKUP(AU39,AU65:AZ74,3,TRUE)</f>
        <v>3</v>
      </c>
    </row>
    <row r="40" spans="1:52" x14ac:dyDescent="0.15">
      <c r="A40" s="11"/>
      <c r="B40" s="20"/>
      <c r="C40" s="25">
        <v>100000</v>
      </c>
      <c r="D40" s="21"/>
      <c r="E40" s="11"/>
      <c r="F40" s="20"/>
      <c r="G40" s="25">
        <v>1200</v>
      </c>
      <c r="H40" s="2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41"/>
      <c r="AF40" s="11"/>
      <c r="AG40" s="11"/>
      <c r="AH40" s="11"/>
      <c r="AI40" s="11"/>
      <c r="AJ40" s="11"/>
      <c r="AK40" s="50">
        <f>IF(G40="","",G40)</f>
        <v>1200</v>
      </c>
      <c r="AL40" s="50">
        <f t="shared" si="5"/>
        <v>1600</v>
      </c>
      <c r="AM40" s="50">
        <f t="shared" si="1"/>
        <v>1200</v>
      </c>
      <c r="AN40" s="50">
        <f t="shared" si="2"/>
        <v>1200</v>
      </c>
      <c r="AP40" s="50">
        <f t="shared" si="7"/>
        <v>100000</v>
      </c>
      <c r="AQ40" s="50">
        <f t="shared" si="4"/>
        <v>100000</v>
      </c>
      <c r="AR40" s="49">
        <f t="shared" si="6"/>
        <v>100000</v>
      </c>
      <c r="AT40" s="46" t="s">
        <v>26</v>
      </c>
      <c r="AV40" s="61">
        <f>'TC-C.B-Fuse'!AO8</f>
        <v>0</v>
      </c>
      <c r="AW40" s="62" t="s">
        <v>16</v>
      </c>
      <c r="AX40" s="60">
        <f>IF(AV40=0,(VLOOKUP(AU39,AU65:AZ74,6,TRUE)),(VLOOKUP(AU39,AU65:AZ74,4,TRUE)))</f>
        <v>1.25</v>
      </c>
      <c r="AY40" s="62" t="s">
        <v>15</v>
      </c>
      <c r="AZ40" s="60">
        <f>IF(AV40=0,(VLOOKUP(AU39,AU65:AZ74,6,TRUE)),(VLOOKUP(AU39,AU65:AZ74,5,TRUE)))</f>
        <v>1.25</v>
      </c>
    </row>
    <row r="41" spans="1:52" x14ac:dyDescent="0.15">
      <c r="A41" s="11"/>
      <c r="B41" s="20"/>
      <c r="C41" s="25"/>
      <c r="D41" s="21"/>
      <c r="E41" s="11"/>
      <c r="F41" s="20"/>
      <c r="G41" s="25">
        <v>1600</v>
      </c>
      <c r="H41" s="2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41"/>
      <c r="AF41" s="11"/>
      <c r="AG41" s="11"/>
      <c r="AH41" s="11"/>
      <c r="AI41" s="11"/>
      <c r="AJ41" s="11"/>
      <c r="AK41" s="50">
        <f t="shared" si="0"/>
        <v>1600</v>
      </c>
      <c r="AL41" s="50">
        <f t="shared" si="5"/>
        <v>2000</v>
      </c>
      <c r="AM41" s="50">
        <f t="shared" si="1"/>
        <v>1600</v>
      </c>
      <c r="AN41" s="50">
        <f t="shared" si="2"/>
        <v>1600</v>
      </c>
      <c r="AP41" s="50" t="str">
        <f t="shared" si="7"/>
        <v/>
      </c>
      <c r="AQ41" s="50" t="str">
        <f t="shared" si="4"/>
        <v/>
      </c>
      <c r="AR41" s="49" t="str">
        <f t="shared" si="6"/>
        <v/>
      </c>
      <c r="AV41" s="61"/>
      <c r="AW41" s="62"/>
      <c r="AX41" s="60"/>
      <c r="AY41" s="62"/>
      <c r="AZ41" s="60"/>
    </row>
    <row r="42" spans="1:52" x14ac:dyDescent="0.15">
      <c r="A42" s="11"/>
      <c r="B42" s="20"/>
      <c r="C42" s="25"/>
      <c r="D42" s="21"/>
      <c r="E42" s="11"/>
      <c r="F42" s="20"/>
      <c r="G42" s="25">
        <v>2000</v>
      </c>
      <c r="H42" s="2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41"/>
      <c r="AF42" s="11"/>
      <c r="AG42" s="11"/>
      <c r="AH42" s="11"/>
      <c r="AI42" s="11"/>
      <c r="AJ42" s="11"/>
      <c r="AK42" s="50">
        <f t="shared" si="0"/>
        <v>2000</v>
      </c>
      <c r="AL42" s="50">
        <f t="shared" si="5"/>
        <v>2500</v>
      </c>
      <c r="AM42" s="50">
        <f t="shared" si="1"/>
        <v>2000</v>
      </c>
      <c r="AN42" s="50">
        <f t="shared" si="2"/>
        <v>2000</v>
      </c>
      <c r="AP42" s="50" t="str">
        <f t="shared" si="7"/>
        <v/>
      </c>
      <c r="AQ42" s="50" t="str">
        <f t="shared" si="4"/>
        <v/>
      </c>
      <c r="AR42" s="49" t="str">
        <f t="shared" si="6"/>
        <v/>
      </c>
      <c r="AV42" s="61"/>
      <c r="AW42" s="62"/>
      <c r="AX42" s="60"/>
      <c r="AY42" s="62"/>
      <c r="AZ42" s="60"/>
    </row>
    <row r="43" spans="1:52" x14ac:dyDescent="0.15">
      <c r="A43" s="11"/>
      <c r="B43" s="20"/>
      <c r="C43" s="25"/>
      <c r="D43" s="21"/>
      <c r="E43" s="11"/>
      <c r="F43" s="20"/>
      <c r="G43" s="25">
        <v>2500</v>
      </c>
      <c r="H43" s="2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41"/>
      <c r="AF43" s="11"/>
      <c r="AG43" s="11"/>
      <c r="AH43" s="11"/>
      <c r="AI43" s="11"/>
      <c r="AJ43" s="11"/>
      <c r="AK43" s="50">
        <f t="shared" si="0"/>
        <v>2500</v>
      </c>
      <c r="AL43" s="50">
        <f t="shared" si="5"/>
        <v>3000</v>
      </c>
      <c r="AM43" s="50">
        <f t="shared" si="1"/>
        <v>2500</v>
      </c>
      <c r="AN43" s="50">
        <f t="shared" si="2"/>
        <v>2500</v>
      </c>
      <c r="AP43" s="50" t="str">
        <f t="shared" si="7"/>
        <v/>
      </c>
      <c r="AQ43" s="50" t="str">
        <f t="shared" si="4"/>
        <v/>
      </c>
      <c r="AR43" s="49" t="str">
        <f t="shared" si="6"/>
        <v/>
      </c>
      <c r="AV43" s="61"/>
      <c r="AW43" s="62"/>
      <c r="AX43" s="60"/>
      <c r="AY43" s="62"/>
      <c r="AZ43" s="60"/>
    </row>
    <row r="44" spans="1:52" x14ac:dyDescent="0.15">
      <c r="A44" s="11"/>
      <c r="B44" s="20"/>
      <c r="C44" s="25"/>
      <c r="D44" s="21"/>
      <c r="E44" s="11"/>
      <c r="F44" s="20"/>
      <c r="G44" s="25">
        <v>3000</v>
      </c>
      <c r="H44" s="2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41"/>
      <c r="AF44" s="11"/>
      <c r="AG44" s="11"/>
      <c r="AH44" s="11"/>
      <c r="AI44" s="11"/>
      <c r="AJ44" s="11"/>
      <c r="AK44" s="50">
        <f t="shared" si="0"/>
        <v>3000</v>
      </c>
      <c r="AL44" s="50">
        <f t="shared" si="5"/>
        <v>4000</v>
      </c>
      <c r="AM44" s="50">
        <f t="shared" si="1"/>
        <v>3000</v>
      </c>
      <c r="AN44" s="50">
        <f t="shared" si="2"/>
        <v>3000</v>
      </c>
      <c r="AP44" s="50" t="str">
        <f t="shared" si="7"/>
        <v/>
      </c>
      <c r="AQ44" s="50" t="str">
        <f t="shared" si="4"/>
        <v/>
      </c>
      <c r="AR44" s="49" t="str">
        <f t="shared" si="6"/>
        <v/>
      </c>
      <c r="AV44" s="61"/>
      <c r="AW44" s="62"/>
      <c r="AX44" s="60"/>
      <c r="AY44" s="62"/>
      <c r="AZ44" s="60"/>
    </row>
    <row r="45" spans="1:52" x14ac:dyDescent="0.15">
      <c r="A45" s="11"/>
      <c r="B45" s="20"/>
      <c r="C45" s="25"/>
      <c r="D45" s="21"/>
      <c r="E45" s="11"/>
      <c r="F45" s="20"/>
      <c r="G45" s="25">
        <v>4000</v>
      </c>
      <c r="H45" s="2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41"/>
      <c r="AF45" s="11"/>
      <c r="AG45" s="11"/>
      <c r="AH45" s="11"/>
      <c r="AI45" s="11"/>
      <c r="AJ45" s="11"/>
      <c r="AK45" s="50">
        <f t="shared" si="0"/>
        <v>4000</v>
      </c>
      <c r="AL45" s="50">
        <f t="shared" si="5"/>
        <v>5000</v>
      </c>
      <c r="AM45" s="50">
        <f t="shared" si="1"/>
        <v>4000</v>
      </c>
      <c r="AN45" s="50">
        <f t="shared" si="2"/>
        <v>4000</v>
      </c>
      <c r="AP45" s="50" t="str">
        <f t="shared" si="7"/>
        <v/>
      </c>
      <c r="AQ45" s="50" t="str">
        <f t="shared" si="4"/>
        <v/>
      </c>
      <c r="AR45" s="49" t="str">
        <f t="shared" si="6"/>
        <v/>
      </c>
      <c r="AV45" s="61"/>
      <c r="AW45" s="62"/>
      <c r="AX45" s="60"/>
      <c r="AY45" s="62"/>
      <c r="AZ45" s="60"/>
    </row>
    <row r="46" spans="1:52" x14ac:dyDescent="0.15">
      <c r="A46" s="11"/>
      <c r="B46" s="20"/>
      <c r="C46" s="25"/>
      <c r="D46" s="21"/>
      <c r="E46" s="11"/>
      <c r="F46" s="20"/>
      <c r="G46" s="25">
        <v>5000</v>
      </c>
      <c r="H46" s="2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41"/>
      <c r="AF46" s="11"/>
      <c r="AG46" s="11"/>
      <c r="AH46" s="11"/>
      <c r="AI46" s="11"/>
      <c r="AJ46" s="11"/>
      <c r="AK46" s="50">
        <f t="shared" si="0"/>
        <v>5000</v>
      </c>
      <c r="AL46" s="50">
        <f t="shared" si="5"/>
        <v>6000</v>
      </c>
      <c r="AM46" s="50">
        <f t="shared" si="1"/>
        <v>5000</v>
      </c>
      <c r="AN46" s="50">
        <f t="shared" si="2"/>
        <v>5000</v>
      </c>
      <c r="AP46" s="50" t="str">
        <f t="shared" si="7"/>
        <v/>
      </c>
      <c r="AQ46" s="50" t="str">
        <f t="shared" si="4"/>
        <v/>
      </c>
      <c r="AR46" s="49" t="str">
        <f t="shared" si="6"/>
        <v/>
      </c>
      <c r="AV46" s="61"/>
      <c r="AW46" s="62"/>
      <c r="AX46" s="60"/>
      <c r="AY46" s="62"/>
      <c r="AZ46" s="60"/>
    </row>
    <row r="47" spans="1:52" x14ac:dyDescent="0.15">
      <c r="A47" s="11"/>
      <c r="B47" s="20"/>
      <c r="C47" s="25"/>
      <c r="D47" s="21"/>
      <c r="E47" s="11"/>
      <c r="F47" s="20"/>
      <c r="G47" s="25">
        <v>6000</v>
      </c>
      <c r="H47" s="2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41"/>
      <c r="AF47" s="11"/>
      <c r="AG47" s="11"/>
      <c r="AH47" s="11"/>
      <c r="AI47" s="11"/>
      <c r="AJ47" s="11"/>
      <c r="AK47" s="50">
        <f t="shared" si="0"/>
        <v>6000</v>
      </c>
      <c r="AL47" s="50">
        <f>IF(AK47="","",IF(AK48="",AK47,AK48))</f>
        <v>6000</v>
      </c>
      <c r="AM47" s="50">
        <f t="shared" si="1"/>
        <v>6000</v>
      </c>
      <c r="AN47" s="50">
        <f t="shared" si="2"/>
        <v>6000</v>
      </c>
      <c r="AP47" s="50" t="str">
        <f t="shared" si="7"/>
        <v/>
      </c>
      <c r="AQ47" s="50" t="str">
        <f t="shared" si="4"/>
        <v/>
      </c>
      <c r="AR47" s="49" t="str">
        <f t="shared" si="6"/>
        <v/>
      </c>
      <c r="AV47" s="61"/>
      <c r="AW47" s="62"/>
      <c r="AX47" s="60"/>
      <c r="AY47" s="62"/>
      <c r="AZ47" s="60"/>
    </row>
    <row r="48" spans="1:52" x14ac:dyDescent="0.15">
      <c r="A48" s="11"/>
      <c r="B48" s="20"/>
      <c r="C48" s="25"/>
      <c r="D48" s="21"/>
      <c r="E48" s="11"/>
      <c r="F48" s="20"/>
      <c r="G48" s="25"/>
      <c r="H48" s="2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41"/>
      <c r="AF48" s="11"/>
      <c r="AG48" s="11"/>
      <c r="AH48" s="11"/>
      <c r="AI48" s="11"/>
      <c r="AJ48" s="11"/>
      <c r="AK48" s="50" t="str">
        <f t="shared" si="0"/>
        <v/>
      </c>
      <c r="AL48" s="50" t="str">
        <f t="shared" si="5"/>
        <v/>
      </c>
      <c r="AM48" s="50" t="str">
        <f t="shared" si="1"/>
        <v/>
      </c>
      <c r="AN48" s="50" t="str">
        <f t="shared" si="2"/>
        <v/>
      </c>
      <c r="AP48" s="50" t="str">
        <f t="shared" si="7"/>
        <v/>
      </c>
      <c r="AQ48" s="50" t="str">
        <f t="shared" si="4"/>
        <v/>
      </c>
      <c r="AR48" s="49" t="str">
        <f t="shared" si="6"/>
        <v/>
      </c>
      <c r="AV48" s="61"/>
      <c r="AW48" s="62"/>
      <c r="AX48" s="60"/>
      <c r="AY48" s="62"/>
      <c r="AZ48" s="60"/>
    </row>
    <row r="49" spans="1:53" x14ac:dyDescent="0.15">
      <c r="A49" s="11"/>
      <c r="B49" s="20"/>
      <c r="C49" s="25"/>
      <c r="D49" s="21"/>
      <c r="E49" s="11"/>
      <c r="F49" s="20"/>
      <c r="G49" s="25"/>
      <c r="H49" s="2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41"/>
      <c r="AF49" s="11"/>
      <c r="AG49" s="11"/>
      <c r="AH49" s="11"/>
      <c r="AI49" s="11"/>
      <c r="AJ49" s="11"/>
      <c r="AK49" s="50" t="str">
        <f t="shared" si="0"/>
        <v/>
      </c>
      <c r="AL49" s="50" t="str">
        <f t="shared" si="5"/>
        <v/>
      </c>
      <c r="AM49" s="50" t="str">
        <f t="shared" si="1"/>
        <v/>
      </c>
      <c r="AN49" s="50" t="str">
        <f t="shared" si="2"/>
        <v/>
      </c>
      <c r="AP49" s="50" t="str">
        <f t="shared" si="7"/>
        <v/>
      </c>
      <c r="AQ49" s="50" t="str">
        <f t="shared" si="4"/>
        <v/>
      </c>
      <c r="AR49" s="49" t="str">
        <f t="shared" si="6"/>
        <v/>
      </c>
      <c r="AV49" s="61"/>
      <c r="AW49" s="62"/>
      <c r="AX49" s="60"/>
      <c r="AY49" s="62"/>
      <c r="AZ49" s="60"/>
    </row>
    <row r="50" spans="1:53" x14ac:dyDescent="0.15">
      <c r="A50" s="11"/>
      <c r="B50" s="20"/>
      <c r="C50" s="25"/>
      <c r="D50" s="21"/>
      <c r="E50" s="11"/>
      <c r="F50" s="20"/>
      <c r="G50" s="25"/>
      <c r="H50" s="2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41"/>
      <c r="AF50" s="11"/>
      <c r="AG50" s="11"/>
      <c r="AH50" s="11"/>
      <c r="AI50" s="11"/>
      <c r="AJ50" s="11"/>
      <c r="AK50" s="50" t="str">
        <f t="shared" si="0"/>
        <v/>
      </c>
      <c r="AL50" s="50" t="str">
        <f t="shared" si="5"/>
        <v/>
      </c>
      <c r="AM50" s="50" t="str">
        <f t="shared" si="1"/>
        <v/>
      </c>
      <c r="AN50" s="50" t="str">
        <f t="shared" si="2"/>
        <v/>
      </c>
      <c r="AP50" s="50" t="str">
        <f t="shared" si="7"/>
        <v/>
      </c>
      <c r="AQ50" s="50" t="str">
        <f t="shared" si="4"/>
        <v/>
      </c>
      <c r="AR50" s="49" t="str">
        <f t="shared" si="6"/>
        <v/>
      </c>
      <c r="AV50" s="61"/>
      <c r="AW50" s="62"/>
      <c r="AX50" s="60"/>
      <c r="AY50" s="62"/>
      <c r="AZ50" s="60"/>
    </row>
    <row r="51" spans="1:53" x14ac:dyDescent="0.15">
      <c r="A51" s="11"/>
      <c r="B51" s="20"/>
      <c r="C51" s="25"/>
      <c r="D51" s="21"/>
      <c r="E51" s="11"/>
      <c r="F51" s="20"/>
      <c r="G51" s="25"/>
      <c r="H51" s="2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50" t="str">
        <f t="shared" si="0"/>
        <v/>
      </c>
      <c r="AL51" s="50" t="str">
        <f t="shared" si="5"/>
        <v/>
      </c>
      <c r="AM51" s="50" t="str">
        <f t="shared" si="1"/>
        <v/>
      </c>
      <c r="AN51" s="50" t="str">
        <f t="shared" si="2"/>
        <v/>
      </c>
      <c r="AP51" s="50" t="str">
        <f t="shared" si="7"/>
        <v/>
      </c>
      <c r="AQ51" s="50" t="str">
        <f t="shared" si="4"/>
        <v/>
      </c>
      <c r="AR51" s="49" t="str">
        <f t="shared" si="6"/>
        <v/>
      </c>
      <c r="AV51" s="61"/>
      <c r="AW51" s="62"/>
      <c r="AX51" s="60"/>
      <c r="AY51" s="62"/>
      <c r="AZ51" s="60"/>
    </row>
    <row r="52" spans="1:53" x14ac:dyDescent="0.15">
      <c r="A52" s="11"/>
      <c r="B52" s="20"/>
      <c r="C52" s="25"/>
      <c r="D52" s="21"/>
      <c r="E52" s="11"/>
      <c r="F52" s="20"/>
      <c r="G52" s="25"/>
      <c r="H52" s="2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 t="str">
        <f>IF(C52="","",(C52-C51/2))</f>
        <v/>
      </c>
      <c r="AF52" s="11"/>
      <c r="AG52" s="11"/>
      <c r="AH52" s="11"/>
      <c r="AI52" s="11"/>
      <c r="AJ52" s="11"/>
      <c r="AK52" s="50" t="str">
        <f t="shared" si="0"/>
        <v/>
      </c>
      <c r="AL52" s="50" t="str">
        <f t="shared" si="5"/>
        <v/>
      </c>
      <c r="AM52" s="50" t="str">
        <f t="shared" si="1"/>
        <v/>
      </c>
      <c r="AN52" s="50" t="str">
        <f t="shared" si="2"/>
        <v/>
      </c>
      <c r="AP52" s="50" t="str">
        <f t="shared" si="7"/>
        <v/>
      </c>
      <c r="AQ52" s="50" t="str">
        <f t="shared" si="4"/>
        <v/>
      </c>
      <c r="AR52" s="49" t="str">
        <f t="shared" si="6"/>
        <v/>
      </c>
      <c r="AV52" s="61"/>
      <c r="AW52" s="62"/>
      <c r="AX52" s="60"/>
      <c r="AY52" s="62"/>
      <c r="AZ52" s="60"/>
    </row>
    <row r="53" spans="1:53" x14ac:dyDescent="0.15">
      <c r="A53" s="11"/>
      <c r="B53" s="20"/>
      <c r="C53" s="25"/>
      <c r="D53" s="21"/>
      <c r="E53" s="11"/>
      <c r="F53" s="20"/>
      <c r="G53" s="25"/>
      <c r="H53" s="2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50" t="str">
        <f t="shared" si="0"/>
        <v/>
      </c>
      <c r="AL53" s="50" t="str">
        <f t="shared" si="5"/>
        <v/>
      </c>
      <c r="AM53" s="50" t="str">
        <f t="shared" si="1"/>
        <v/>
      </c>
      <c r="AN53" s="50" t="str">
        <f t="shared" si="2"/>
        <v/>
      </c>
      <c r="AP53" s="50" t="str">
        <f t="shared" si="7"/>
        <v/>
      </c>
      <c r="AQ53" s="50" t="str">
        <f t="shared" si="4"/>
        <v/>
      </c>
      <c r="AR53" s="49" t="str">
        <f t="shared" si="6"/>
        <v/>
      </c>
      <c r="AV53" s="61"/>
      <c r="AW53" s="62"/>
      <c r="AX53" s="60"/>
      <c r="AY53" s="62"/>
      <c r="AZ53" s="60"/>
    </row>
    <row r="54" spans="1:53" x14ac:dyDescent="0.15">
      <c r="A54" s="11"/>
      <c r="B54" s="20"/>
      <c r="C54" s="25"/>
      <c r="D54" s="21"/>
      <c r="E54" s="11"/>
      <c r="F54" s="20"/>
      <c r="G54" s="25"/>
      <c r="H54" s="2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50" t="str">
        <f t="shared" si="0"/>
        <v/>
      </c>
      <c r="AL54" s="50" t="str">
        <f t="shared" si="5"/>
        <v/>
      </c>
      <c r="AM54" s="50" t="str">
        <f t="shared" si="1"/>
        <v/>
      </c>
      <c r="AN54" s="50" t="str">
        <f t="shared" si="2"/>
        <v/>
      </c>
      <c r="AP54" s="50" t="str">
        <f t="shared" si="7"/>
        <v/>
      </c>
      <c r="AQ54" s="50" t="str">
        <f t="shared" si="4"/>
        <v/>
      </c>
      <c r="AR54" s="49" t="str">
        <f t="shared" si="6"/>
        <v/>
      </c>
      <c r="AV54" s="61"/>
      <c r="AW54" s="62"/>
      <c r="AX54" s="60"/>
      <c r="AY54" s="62"/>
      <c r="AZ54" s="60"/>
    </row>
    <row r="55" spans="1:53" ht="14" thickBot="1" x14ac:dyDescent="0.2">
      <c r="A55" s="11"/>
      <c r="B55" s="22"/>
      <c r="C55" s="23"/>
      <c r="D55" s="24"/>
      <c r="E55" s="11"/>
      <c r="F55" s="20"/>
      <c r="G55" s="25"/>
      <c r="H55" s="2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50" t="str">
        <f t="shared" si="0"/>
        <v/>
      </c>
      <c r="AL55" s="50" t="str">
        <f t="shared" si="5"/>
        <v/>
      </c>
      <c r="AM55" s="50" t="str">
        <f t="shared" si="1"/>
        <v/>
      </c>
      <c r="AN55" s="50" t="str">
        <f t="shared" si="2"/>
        <v/>
      </c>
      <c r="AQ55" s="46"/>
      <c r="AV55" s="61"/>
      <c r="AW55" s="62"/>
      <c r="AX55" s="60"/>
      <c r="AY55" s="62"/>
      <c r="AZ55" s="60"/>
    </row>
    <row r="56" spans="1:53" x14ac:dyDescent="0.15">
      <c r="A56" s="11"/>
      <c r="B56" s="11"/>
      <c r="C56" s="11"/>
      <c r="D56" s="11"/>
      <c r="E56" s="11"/>
      <c r="F56" s="20"/>
      <c r="G56" s="25"/>
      <c r="H56" s="2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50" t="str">
        <f t="shared" si="0"/>
        <v/>
      </c>
      <c r="AL56" s="50" t="str">
        <f t="shared" si="5"/>
        <v/>
      </c>
      <c r="AM56" s="50" t="str">
        <f t="shared" si="1"/>
        <v/>
      </c>
      <c r="AN56" s="50" t="str">
        <f t="shared" si="2"/>
        <v/>
      </c>
      <c r="AQ56" s="46"/>
      <c r="AV56" s="61"/>
      <c r="AW56" s="62"/>
      <c r="AX56" s="60"/>
      <c r="AY56" s="62"/>
      <c r="AZ56" s="60"/>
    </row>
    <row r="57" spans="1:53" ht="14" thickBot="1" x14ac:dyDescent="0.2">
      <c r="A57" s="11"/>
      <c r="B57" s="11"/>
      <c r="C57" s="11"/>
      <c r="D57" s="11"/>
      <c r="E57" s="11"/>
      <c r="F57" s="20"/>
      <c r="G57" s="25"/>
      <c r="H57" s="2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50" t="str">
        <f t="shared" si="0"/>
        <v/>
      </c>
      <c r="AL57" s="50" t="str">
        <f t="shared" si="5"/>
        <v/>
      </c>
      <c r="AM57" s="50" t="str">
        <f t="shared" si="1"/>
        <v/>
      </c>
      <c r="AN57" s="50" t="str">
        <f t="shared" si="2"/>
        <v/>
      </c>
      <c r="AQ57" s="46"/>
      <c r="AV57" s="61"/>
      <c r="AW57" s="62"/>
      <c r="AX57" s="60"/>
      <c r="AY57" s="62"/>
      <c r="AZ57" s="60"/>
    </row>
    <row r="58" spans="1:53" x14ac:dyDescent="0.15">
      <c r="A58" s="11"/>
      <c r="B58" s="11"/>
      <c r="C58" s="11"/>
      <c r="D58" s="11"/>
      <c r="E58" s="11"/>
      <c r="F58" s="20"/>
      <c r="G58" s="25"/>
      <c r="H58" s="2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50" t="str">
        <f t="shared" si="0"/>
        <v/>
      </c>
      <c r="AL58" s="50" t="str">
        <f t="shared" si="5"/>
        <v/>
      </c>
      <c r="AM58" s="50" t="str">
        <f t="shared" si="1"/>
        <v/>
      </c>
      <c r="AN58" s="50" t="str">
        <f t="shared" si="2"/>
        <v/>
      </c>
      <c r="AQ58" s="46"/>
      <c r="AT58" s="63"/>
      <c r="AU58" s="64"/>
      <c r="AV58" s="65"/>
      <c r="AW58" s="66"/>
      <c r="AX58" s="67"/>
      <c r="AY58" s="66"/>
      <c r="AZ58" s="67"/>
      <c r="BA58" s="68"/>
    </row>
    <row r="59" spans="1:53" x14ac:dyDescent="0.15">
      <c r="A59" s="11"/>
      <c r="B59" s="11"/>
      <c r="C59" s="11"/>
      <c r="D59" s="11"/>
      <c r="E59" s="11"/>
      <c r="F59" s="20"/>
      <c r="G59" s="25"/>
      <c r="H59" s="2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50" t="str">
        <f t="shared" si="0"/>
        <v/>
      </c>
      <c r="AL59" s="50" t="str">
        <f t="shared" si="5"/>
        <v/>
      </c>
      <c r="AM59" s="50" t="str">
        <f t="shared" si="1"/>
        <v/>
      </c>
      <c r="AN59" s="50" t="str">
        <f t="shared" si="2"/>
        <v/>
      </c>
      <c r="AQ59" s="46"/>
      <c r="AT59" s="69"/>
      <c r="BA59" s="70"/>
    </row>
    <row r="60" spans="1:53" x14ac:dyDescent="0.15">
      <c r="A60" s="11"/>
      <c r="B60" s="11"/>
      <c r="C60" s="11"/>
      <c r="D60" s="11"/>
      <c r="E60" s="11"/>
      <c r="F60" s="20"/>
      <c r="G60" s="25"/>
      <c r="H60" s="2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50" t="str">
        <f t="shared" si="0"/>
        <v/>
      </c>
      <c r="AL60" s="50" t="str">
        <f>IF(AK60="","",AK60)</f>
        <v/>
      </c>
      <c r="AM60" s="50" t="str">
        <f t="shared" si="1"/>
        <v/>
      </c>
      <c r="AN60" s="50" t="str">
        <f t="shared" si="2"/>
        <v/>
      </c>
      <c r="AQ60" s="46"/>
      <c r="AT60" s="69"/>
      <c r="AU60" s="164" t="s">
        <v>21</v>
      </c>
      <c r="AV60" s="165"/>
      <c r="AW60" s="165"/>
      <c r="AX60" s="166"/>
      <c r="AY60" s="164" t="s">
        <v>22</v>
      </c>
      <c r="AZ60" s="166"/>
      <c r="BA60" s="70"/>
    </row>
    <row r="61" spans="1:53" ht="14" thickBot="1" x14ac:dyDescent="0.2">
      <c r="A61" s="11"/>
      <c r="B61" s="11"/>
      <c r="C61" s="11"/>
      <c r="D61" s="11"/>
      <c r="E61" s="11"/>
      <c r="F61" s="22"/>
      <c r="G61" s="23"/>
      <c r="H61" s="24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N61" s="46"/>
      <c r="AT61" s="69"/>
      <c r="AU61" s="176" t="s">
        <v>13</v>
      </c>
      <c r="AV61" s="173" t="s">
        <v>14</v>
      </c>
      <c r="AW61" s="175"/>
      <c r="AX61" s="173" t="s">
        <v>17</v>
      </c>
      <c r="AY61" s="174"/>
      <c r="AZ61" s="175"/>
      <c r="BA61" s="70"/>
    </row>
    <row r="62" spans="1:53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T62" s="69"/>
      <c r="AU62" s="177"/>
      <c r="AV62" s="164" t="s">
        <v>18</v>
      </c>
      <c r="AW62" s="166"/>
      <c r="AX62" s="164" t="s">
        <v>18</v>
      </c>
      <c r="AY62" s="166"/>
      <c r="AZ62" s="53" t="s">
        <v>19</v>
      </c>
      <c r="BA62" s="70"/>
    </row>
    <row r="63" spans="1:53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T63" s="69"/>
      <c r="AU63" s="177"/>
      <c r="AV63" s="53" t="s">
        <v>16</v>
      </c>
      <c r="AW63" s="53" t="s">
        <v>15</v>
      </c>
      <c r="AX63" s="53" t="s">
        <v>16</v>
      </c>
      <c r="AY63" s="53" t="s">
        <v>15</v>
      </c>
      <c r="AZ63" s="53" t="s">
        <v>20</v>
      </c>
      <c r="BA63" s="70"/>
    </row>
    <row r="64" spans="1:53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T64" s="69"/>
      <c r="AU64" s="178"/>
      <c r="AV64" s="53"/>
      <c r="AW64" s="53"/>
      <c r="AX64" s="53"/>
      <c r="AY64" s="53"/>
      <c r="AZ64" s="53"/>
      <c r="BA64" s="70"/>
    </row>
    <row r="65" spans="1:53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T65" s="69"/>
      <c r="AU65" s="58">
        <v>0.01</v>
      </c>
      <c r="AV65" s="59">
        <v>6</v>
      </c>
      <c r="AW65" s="59">
        <v>3</v>
      </c>
      <c r="AX65" s="59">
        <v>3</v>
      </c>
      <c r="AY65" s="59">
        <v>2.5</v>
      </c>
      <c r="AZ65" s="59">
        <v>1.25</v>
      </c>
      <c r="BA65" s="70"/>
    </row>
    <row r="66" spans="1:53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T66" s="69"/>
      <c r="AU66" s="58">
        <v>0.02</v>
      </c>
      <c r="AV66" s="59">
        <v>6</v>
      </c>
      <c r="AW66" s="59">
        <v>3</v>
      </c>
      <c r="AX66" s="59">
        <v>3</v>
      </c>
      <c r="AY66" s="59">
        <v>2.5</v>
      </c>
      <c r="AZ66" s="59">
        <v>1.25</v>
      </c>
      <c r="BA66" s="70"/>
    </row>
    <row r="67" spans="1:53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T67" s="69"/>
      <c r="AU67" s="58">
        <v>0.03</v>
      </c>
      <c r="AV67" s="59">
        <v>6</v>
      </c>
      <c r="AW67" s="59">
        <v>3</v>
      </c>
      <c r="AX67" s="59">
        <v>3</v>
      </c>
      <c r="AY67" s="59">
        <v>2.5</v>
      </c>
      <c r="AZ67" s="59">
        <v>1.25</v>
      </c>
      <c r="BA67" s="70"/>
    </row>
    <row r="68" spans="1:53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T68" s="69"/>
      <c r="AU68" s="58">
        <v>0.04</v>
      </c>
      <c r="AV68" s="59">
        <v>6</v>
      </c>
      <c r="AW68" s="59">
        <v>3</v>
      </c>
      <c r="AX68" s="59">
        <v>3</v>
      </c>
      <c r="AY68" s="59">
        <v>2.5</v>
      </c>
      <c r="AZ68" s="59">
        <v>1.25</v>
      </c>
      <c r="BA68" s="70"/>
    </row>
    <row r="69" spans="1:53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T69" s="69"/>
      <c r="AU69" s="58">
        <v>0.05</v>
      </c>
      <c r="AV69" s="59">
        <v>6</v>
      </c>
      <c r="AW69" s="59">
        <v>3</v>
      </c>
      <c r="AX69" s="59">
        <v>3</v>
      </c>
      <c r="AY69" s="59">
        <v>2.5</v>
      </c>
      <c r="AZ69" s="59">
        <v>1.25</v>
      </c>
      <c r="BA69" s="70"/>
    </row>
    <row r="70" spans="1:53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T70" s="69"/>
      <c r="AU70" s="58">
        <v>0.06</v>
      </c>
      <c r="AV70" s="59">
        <v>6</v>
      </c>
      <c r="AW70" s="59">
        <v>3</v>
      </c>
      <c r="AX70" s="59">
        <v>3</v>
      </c>
      <c r="AY70" s="59">
        <v>2.5</v>
      </c>
      <c r="AZ70" s="59">
        <v>1.25</v>
      </c>
      <c r="BA70" s="70"/>
    </row>
    <row r="71" spans="1:53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T71" s="69"/>
      <c r="AU71" s="58">
        <v>7.0000000000000007E-2</v>
      </c>
      <c r="AV71" s="59">
        <v>4</v>
      </c>
      <c r="AW71" s="59">
        <v>3</v>
      </c>
      <c r="AX71" s="59">
        <v>2.5</v>
      </c>
      <c r="AY71" s="59">
        <v>2.25</v>
      </c>
      <c r="AZ71" s="59">
        <v>1.25</v>
      </c>
      <c r="BA71" s="70"/>
    </row>
    <row r="72" spans="1:53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T72" s="69"/>
      <c r="AU72" s="58">
        <v>0.08</v>
      </c>
      <c r="AV72" s="59">
        <v>4</v>
      </c>
      <c r="AW72" s="59">
        <v>3</v>
      </c>
      <c r="AX72" s="59">
        <v>2.5</v>
      </c>
      <c r="AY72" s="59">
        <v>2.25</v>
      </c>
      <c r="AZ72" s="59">
        <v>1.25</v>
      </c>
      <c r="BA72" s="70"/>
    </row>
    <row r="73" spans="1:53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T73" s="69"/>
      <c r="AU73" s="58">
        <v>0.09</v>
      </c>
      <c r="AV73" s="59">
        <v>4</v>
      </c>
      <c r="AW73" s="59">
        <v>3</v>
      </c>
      <c r="AX73" s="59">
        <v>2.5</v>
      </c>
      <c r="AY73" s="59">
        <v>2.25</v>
      </c>
      <c r="AZ73" s="59">
        <v>1.25</v>
      </c>
      <c r="BA73" s="70"/>
    </row>
    <row r="74" spans="1:53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T74" s="69"/>
      <c r="AU74" s="58">
        <v>0.1</v>
      </c>
      <c r="AV74" s="59">
        <v>4</v>
      </c>
      <c r="AW74" s="59">
        <v>3</v>
      </c>
      <c r="AX74" s="59">
        <v>2.5</v>
      </c>
      <c r="AY74" s="59">
        <v>2.25</v>
      </c>
      <c r="AZ74" s="59">
        <v>1.25</v>
      </c>
      <c r="BA74" s="70"/>
    </row>
    <row r="75" spans="1:53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T75" s="69"/>
      <c r="BA75" s="70"/>
    </row>
    <row r="76" spans="1:53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T76" s="69"/>
      <c r="BA76" s="70"/>
    </row>
    <row r="77" spans="1:53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T77" s="69"/>
      <c r="BA77" s="70"/>
    </row>
    <row r="78" spans="1:53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T78" s="69"/>
      <c r="BA78" s="70"/>
    </row>
    <row r="79" spans="1:53" ht="30" customHeight="1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T79" s="69"/>
      <c r="AU79" s="182" t="s">
        <v>59</v>
      </c>
      <c r="AV79" s="183"/>
      <c r="AW79" s="183"/>
      <c r="AX79" s="183"/>
      <c r="AY79" s="183"/>
      <c r="AZ79" s="184"/>
      <c r="BA79" s="70"/>
    </row>
    <row r="80" spans="1:53" ht="15" customHeight="1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T80" s="69"/>
      <c r="AU80" s="71" t="s">
        <v>60</v>
      </c>
      <c r="AV80" s="185" t="s">
        <v>62</v>
      </c>
      <c r="AW80" s="186"/>
      <c r="AX80" s="187"/>
      <c r="AY80" s="185" t="s">
        <v>63</v>
      </c>
      <c r="AZ80" s="187"/>
      <c r="BA80" s="70"/>
    </row>
    <row r="81" spans="1:53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T81" s="69"/>
      <c r="AU81" s="72"/>
      <c r="AV81" s="188"/>
      <c r="AW81" s="189"/>
      <c r="AX81" s="190"/>
      <c r="AY81" s="188"/>
      <c r="AZ81" s="190"/>
      <c r="BA81" s="70"/>
    </row>
    <row r="82" spans="1:53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T82" s="69"/>
      <c r="AU82" s="73" t="s">
        <v>61</v>
      </c>
      <c r="AV82" s="74" t="s">
        <v>64</v>
      </c>
      <c r="AW82" s="74" t="s">
        <v>65</v>
      </c>
      <c r="AX82" s="74" t="s">
        <v>66</v>
      </c>
      <c r="AY82" s="74" t="s">
        <v>64</v>
      </c>
      <c r="AZ82" s="74" t="s">
        <v>67</v>
      </c>
      <c r="BA82" s="70"/>
    </row>
    <row r="83" spans="1:53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T83" s="69"/>
      <c r="AU83" s="75" t="s">
        <v>68</v>
      </c>
      <c r="AV83" s="75" t="s">
        <v>69</v>
      </c>
      <c r="AW83" s="76">
        <v>1.67</v>
      </c>
      <c r="AX83" s="76">
        <v>3</v>
      </c>
      <c r="AY83" s="75" t="s">
        <v>70</v>
      </c>
      <c r="AZ83" s="75" t="s">
        <v>70</v>
      </c>
      <c r="BA83" s="70"/>
    </row>
    <row r="84" spans="1:53" ht="24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T84" s="69"/>
      <c r="AU84" s="75" t="s">
        <v>71</v>
      </c>
      <c r="AV84" s="76">
        <v>2.5</v>
      </c>
      <c r="AW84" s="76">
        <v>2.5</v>
      </c>
      <c r="AX84" s="76">
        <v>2.5</v>
      </c>
      <c r="AY84" s="75" t="s">
        <v>69</v>
      </c>
      <c r="AZ84" s="76">
        <v>1.67</v>
      </c>
      <c r="BA84" s="70"/>
    </row>
    <row r="85" spans="1:53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T85" s="69"/>
      <c r="BA85" s="70"/>
    </row>
    <row r="86" spans="1:53" ht="15" customHeight="1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T86" s="77" t="s">
        <v>73</v>
      </c>
      <c r="AU86" s="172" t="s">
        <v>68</v>
      </c>
      <c r="AV86" s="172"/>
      <c r="AW86" s="172"/>
      <c r="BA86" s="70"/>
    </row>
    <row r="87" spans="1:53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T87" s="69"/>
      <c r="AU87" s="50" t="s">
        <v>4</v>
      </c>
      <c r="AV87" s="53" t="s">
        <v>0</v>
      </c>
      <c r="AW87" s="53" t="s">
        <v>1</v>
      </c>
      <c r="BA87" s="70"/>
    </row>
    <row r="88" spans="1:53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T88" s="69"/>
      <c r="AU88" s="50">
        <v>1</v>
      </c>
      <c r="AV88" s="59">
        <v>3</v>
      </c>
      <c r="AW88" s="59">
        <v>0</v>
      </c>
      <c r="BA88" s="70"/>
    </row>
    <row r="89" spans="1:53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T89" s="69"/>
      <c r="AU89" s="50">
        <v>2</v>
      </c>
      <c r="AV89" s="59">
        <v>1.67</v>
      </c>
      <c r="AW89" s="59">
        <v>0</v>
      </c>
      <c r="BA89" s="70"/>
    </row>
    <row r="90" spans="1:53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T90" s="69"/>
      <c r="AU90" s="50">
        <v>3</v>
      </c>
      <c r="AV90" s="59">
        <v>1.67</v>
      </c>
      <c r="AW90" s="59">
        <v>0</v>
      </c>
      <c r="BA90" s="70"/>
    </row>
    <row r="91" spans="1:53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T91" s="69"/>
      <c r="AU91" s="50">
        <v>4</v>
      </c>
      <c r="AV91" s="59">
        <v>1.67</v>
      </c>
      <c r="AW91" s="59">
        <v>0</v>
      </c>
      <c r="BA91" s="70"/>
    </row>
    <row r="92" spans="1:53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T92" s="69"/>
      <c r="AU92" s="50">
        <v>5</v>
      </c>
      <c r="AV92" s="59">
        <v>1.67</v>
      </c>
      <c r="AW92" s="59">
        <v>0</v>
      </c>
      <c r="BA92" s="70"/>
    </row>
    <row r="93" spans="1:53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T93" s="69"/>
      <c r="AU93" s="50">
        <v>6</v>
      </c>
      <c r="AV93" s="59">
        <v>1.67</v>
      </c>
      <c r="AW93" s="59">
        <v>0</v>
      </c>
      <c r="BA93" s="70"/>
    </row>
    <row r="94" spans="1:53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T94" s="69"/>
      <c r="AU94" s="50">
        <v>7</v>
      </c>
      <c r="AV94" s="59">
        <v>1.67</v>
      </c>
      <c r="AW94" s="59">
        <v>0</v>
      </c>
      <c r="BA94" s="70"/>
    </row>
    <row r="95" spans="1:53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T95" s="69"/>
      <c r="AU95" s="50">
        <v>8</v>
      </c>
      <c r="AV95" s="59">
        <v>1.67</v>
      </c>
      <c r="AW95" s="59">
        <v>0</v>
      </c>
      <c r="BA95" s="70"/>
    </row>
    <row r="96" spans="1:53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T96" s="69"/>
      <c r="AU96" s="50">
        <v>9</v>
      </c>
      <c r="AV96" s="59">
        <v>1.67</v>
      </c>
      <c r="AW96" s="59">
        <v>0</v>
      </c>
      <c r="BA96" s="70"/>
    </row>
    <row r="97" spans="1:53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T97" s="69"/>
      <c r="AU97" s="50">
        <v>10</v>
      </c>
      <c r="AV97" s="54">
        <v>1.25</v>
      </c>
      <c r="AW97" s="59">
        <v>0</v>
      </c>
      <c r="BA97" s="70"/>
    </row>
    <row r="98" spans="1:53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T98" s="69"/>
      <c r="AU98" s="45"/>
      <c r="AV98" s="78"/>
      <c r="AW98" s="79"/>
      <c r="BA98" s="70"/>
    </row>
    <row r="99" spans="1:53" x14ac:dyDescent="0.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T99" s="80">
        <f>'TC-C.B-Fuse'!N21</f>
        <v>4.1737388352486162</v>
      </c>
      <c r="AU99" s="45"/>
      <c r="AV99" s="78">
        <f>VLOOKUP(AT99,AU88:AW97,2,TRUE)</f>
        <v>1.67</v>
      </c>
      <c r="AW99" s="78">
        <f>VLOOKUP(AT100,AU88:AW97,3,TRUE)</f>
        <v>0</v>
      </c>
      <c r="AX99" s="45">
        <f>IF(AV99=AV97,1,0)</f>
        <v>0</v>
      </c>
      <c r="BA99" s="70"/>
    </row>
    <row r="100" spans="1:53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T100" s="80">
        <f>'TC-C.B-Fuse'!N26</f>
        <v>7.5308765940355453</v>
      </c>
      <c r="AU100" s="45"/>
      <c r="AV100" s="81">
        <f>AV99*AT99</f>
        <v>6.9701438548651886</v>
      </c>
      <c r="AW100" s="45" t="s">
        <v>76</v>
      </c>
      <c r="BA100" s="70"/>
    </row>
    <row r="101" spans="1:53" x14ac:dyDescent="0.1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T101" s="69"/>
      <c r="AV101" s="61">
        <f>VLOOKUP(AV100,AM6:AN44,2,TRUE)</f>
        <v>6</v>
      </c>
      <c r="AW101" s="45" t="s">
        <v>76</v>
      </c>
      <c r="BA101" s="70"/>
    </row>
    <row r="102" spans="1:53" x14ac:dyDescent="0.1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T102" s="69"/>
      <c r="BA102" s="70"/>
    </row>
    <row r="103" spans="1:53" x14ac:dyDescent="0.1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T103" s="69"/>
      <c r="AU103" s="172" t="s">
        <v>75</v>
      </c>
      <c r="AV103" s="172"/>
      <c r="AW103" s="172"/>
      <c r="BA103" s="70"/>
    </row>
    <row r="104" spans="1:53" x14ac:dyDescent="0.1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T104" s="69"/>
      <c r="AU104" s="50" t="s">
        <v>4</v>
      </c>
      <c r="AV104" s="53" t="s">
        <v>0</v>
      </c>
      <c r="AW104" s="53" t="s">
        <v>1</v>
      </c>
      <c r="BA104" s="70"/>
    </row>
    <row r="105" spans="1:53" x14ac:dyDescent="0.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T105" s="69"/>
      <c r="AU105" s="50">
        <v>1</v>
      </c>
      <c r="AV105" s="59">
        <v>2.5</v>
      </c>
      <c r="AW105" s="59">
        <v>1.67</v>
      </c>
      <c r="BA105" s="70"/>
    </row>
    <row r="106" spans="1:53" x14ac:dyDescent="0.1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T106" s="69"/>
      <c r="AU106" s="50">
        <v>2</v>
      </c>
      <c r="AV106" s="59">
        <v>2.5</v>
      </c>
      <c r="AW106" s="59">
        <v>1.67</v>
      </c>
      <c r="BA106" s="70"/>
    </row>
    <row r="107" spans="1:53" x14ac:dyDescent="0.1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T107" s="69"/>
      <c r="AU107" s="50">
        <v>3</v>
      </c>
      <c r="AV107" s="59">
        <v>2.5</v>
      </c>
      <c r="AW107" s="59">
        <v>1.67</v>
      </c>
      <c r="BA107" s="70"/>
    </row>
    <row r="108" spans="1:53" x14ac:dyDescent="0.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T108" s="69"/>
      <c r="AU108" s="50">
        <v>4</v>
      </c>
      <c r="AV108" s="59">
        <v>2.5</v>
      </c>
      <c r="AW108" s="59">
        <v>1.67</v>
      </c>
      <c r="BA108" s="70"/>
    </row>
    <row r="109" spans="1:53" x14ac:dyDescent="0.1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T109" s="69"/>
      <c r="AU109" s="50">
        <v>5</v>
      </c>
      <c r="AV109" s="59">
        <v>2.5</v>
      </c>
      <c r="AW109" s="59">
        <v>1.67</v>
      </c>
      <c r="BA109" s="70"/>
    </row>
    <row r="110" spans="1:53" x14ac:dyDescent="0.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T110" s="69"/>
      <c r="AU110" s="50">
        <v>6</v>
      </c>
      <c r="AV110" s="59">
        <v>2.5</v>
      </c>
      <c r="AW110" s="59">
        <v>1.67</v>
      </c>
      <c r="BA110" s="70"/>
    </row>
    <row r="111" spans="1:53" x14ac:dyDescent="0.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T111" s="69"/>
      <c r="AU111" s="50">
        <v>7</v>
      </c>
      <c r="AV111" s="59">
        <v>2.5</v>
      </c>
      <c r="AW111" s="59">
        <v>1.67</v>
      </c>
      <c r="BA111" s="70"/>
    </row>
    <row r="112" spans="1:53" x14ac:dyDescent="0.1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T112" s="69"/>
      <c r="AU112" s="50">
        <v>8</v>
      </c>
      <c r="AV112" s="59">
        <v>2.5</v>
      </c>
      <c r="AW112" s="59">
        <v>1.67</v>
      </c>
      <c r="BA112" s="70"/>
    </row>
    <row r="113" spans="1:53" x14ac:dyDescent="0.1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T113" s="69"/>
      <c r="AU113" s="50">
        <v>9</v>
      </c>
      <c r="AV113" s="59">
        <v>2.5</v>
      </c>
      <c r="AW113" s="59">
        <v>1.25</v>
      </c>
      <c r="BA113" s="70"/>
    </row>
    <row r="114" spans="1:53" x14ac:dyDescent="0.1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T114" s="69"/>
      <c r="AU114" s="50">
        <v>10</v>
      </c>
      <c r="AV114" s="59">
        <v>2.5</v>
      </c>
      <c r="AW114" s="82">
        <v>1.25</v>
      </c>
      <c r="BA114" s="70"/>
    </row>
    <row r="115" spans="1:53" x14ac:dyDescent="0.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T115" s="69"/>
      <c r="BA115" s="70"/>
    </row>
    <row r="116" spans="1:53" x14ac:dyDescent="0.1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T116" s="80">
        <f>AT99</f>
        <v>4.1737388352486162</v>
      </c>
      <c r="AV116" s="78">
        <f>VLOOKUP(AT116,AU105:AW114,2,TRUE)</f>
        <v>2.5</v>
      </c>
      <c r="AW116" s="78">
        <f>VLOOKUP(AT117,AU105:AW114,3,TRUE)</f>
        <v>1.67</v>
      </c>
      <c r="AX116" s="45">
        <f>IF(AW116=AW114,1,0)</f>
        <v>0</v>
      </c>
      <c r="BA116" s="70"/>
    </row>
    <row r="117" spans="1:53" x14ac:dyDescent="0.1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T117" s="80">
        <f>AT100</f>
        <v>7.5308765940355453</v>
      </c>
      <c r="AV117" s="81">
        <f>AV116*AT116</f>
        <v>10.434347088121541</v>
      </c>
      <c r="AW117" s="81">
        <f>AW116*AT117</f>
        <v>12.57656391203936</v>
      </c>
      <c r="BA117" s="70"/>
    </row>
    <row r="118" spans="1:53" x14ac:dyDescent="0.1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T118" s="69"/>
      <c r="AV118" s="61">
        <f>VLOOKUP(AV117,AM6:AN60,2,TRUE)</f>
        <v>10</v>
      </c>
      <c r="AW118" s="61">
        <f>VLOOKUP(AW117,AM6:AN60,2,TRUE)</f>
        <v>10</v>
      </c>
      <c r="BA118" s="70"/>
    </row>
    <row r="119" spans="1:53" x14ac:dyDescent="0.1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T119" s="69"/>
      <c r="BA119" s="70"/>
    </row>
    <row r="120" spans="1:53" x14ac:dyDescent="0.1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T120" s="69"/>
      <c r="BA120" s="70"/>
    </row>
    <row r="121" spans="1:53" x14ac:dyDescent="0.1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T121" s="69"/>
      <c r="AV121" s="57">
        <f>IF('TC-C.B-Fuse'!N15="Primary Only",Sheet2!AV101,Sheet2!AV118)</f>
        <v>6</v>
      </c>
      <c r="AW121" s="57" t="str">
        <f>IF('TC-C.B-Fuse'!N15="Primary Only",AW101,AW118)</f>
        <v>N/A</v>
      </c>
      <c r="BA121" s="70"/>
    </row>
    <row r="122" spans="1:53" ht="14" thickBot="1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T122" s="83"/>
      <c r="AU122" s="84"/>
      <c r="AV122" s="84"/>
      <c r="AW122" s="84"/>
      <c r="AX122" s="84"/>
      <c r="AY122" s="84"/>
      <c r="AZ122" s="84"/>
      <c r="BA122" s="85"/>
    </row>
  </sheetData>
  <sheetProtection password="CE28" sheet="1" objects="1" scenarios="1" formatCells="0" formatColumns="0" formatRows="0"/>
  <mergeCells count="29">
    <mergeCell ref="C2:G2"/>
    <mergeCell ref="AU103:AW103"/>
    <mergeCell ref="AZ9:BA9"/>
    <mergeCell ref="BB9:BC9"/>
    <mergeCell ref="AU79:AZ79"/>
    <mergeCell ref="AV80:AX81"/>
    <mergeCell ref="AY80:AZ81"/>
    <mergeCell ref="AU86:AW86"/>
    <mergeCell ref="AU61:AU64"/>
    <mergeCell ref="AV61:AW61"/>
    <mergeCell ref="AX61:AZ61"/>
    <mergeCell ref="AV62:AW62"/>
    <mergeCell ref="AX62:AY62"/>
    <mergeCell ref="AM4:AN4"/>
    <mergeCell ref="AK4:AL4"/>
    <mergeCell ref="AK5:AL5"/>
    <mergeCell ref="AU60:AX60"/>
    <mergeCell ref="AY60:AZ60"/>
    <mergeCell ref="AM5:AN5"/>
    <mergeCell ref="AU5:AV5"/>
    <mergeCell ref="AW5:AX5"/>
    <mergeCell ref="AV17:AW17"/>
    <mergeCell ref="AX17:AY17"/>
    <mergeCell ref="AV16:AW16"/>
    <mergeCell ref="AX16:AZ16"/>
    <mergeCell ref="AU16:AU19"/>
    <mergeCell ref="AU15:AX15"/>
    <mergeCell ref="AY15:AZ15"/>
    <mergeCell ref="AP5:AR5"/>
  </mergeCells>
  <dataValidations count="1">
    <dataValidation type="decimal" allowBlank="1" showInputMessage="1" showErrorMessage="1" error="Enter Decimal Value only (Don't Enter any Text)" sqref="G6:G60 C6:C54" xr:uid="{00000000-0002-0000-0100-000000000000}">
      <formula1>1</formula1>
      <formula2>100000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TC-C.B-Fuse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2025-03-02T18:12:12Z</dcterms:modified>
</cp:coreProperties>
</file>